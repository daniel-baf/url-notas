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danib\Downloads\"/>
    </mc:Choice>
  </mc:AlternateContent>
  <xr:revisionPtr revIDLastSave="0" documentId="13_ncr:1_{7496CE6C-81F5-492B-852C-3B6BDCC70287}" xr6:coauthVersionLast="47" xr6:coauthVersionMax="47" xr10:uidLastSave="{00000000-0000-0000-0000-000000000000}"/>
  <bookViews>
    <workbookView xWindow="-110" yWindow="-110" windowWidth="25820" windowHeight="15500" tabRatio="500" activeTab="2" xr2:uid="{00000000-000D-0000-FFFF-FFFF00000000}"/>
  </bookViews>
  <sheets>
    <sheet name="BALANCES GENERALES" sheetId="1" r:id="rId1"/>
    <sheet name="EDO. DE RESULTADOS" sheetId="2" r:id="rId2"/>
    <sheet name="CLASIFICACIÓN CUENTAS" sheetId="3" r:id="rId3"/>
    <sheet name="flujo de efectivo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smNativeData">
      <pm:revision xmlns:pm="smNativeData" day="1756407961" val="1224" rev="124" rev64="64" revOS="3" revMin="124" revMax="0"/>
      <pm:docPrefs xmlns:pm="smNativeData" id="1756407961" fixedDigits="0" showNotice="1" showFrameBounds="1" autoChart="1" recalcOnPrint="1" recalcOnCopy="1" finalRounding="1" compatTextArt="1" tab="567" useDefinedPrintRange="1" printArea="currentSheet"/>
      <pm:compatibility xmlns:pm="smNativeData" id="1756407961" overlapCells="1"/>
      <pm:defCurrency xmlns:pm="smNativeData" id="1756407961"/>
    </ext>
  </extLst>
</workbook>
</file>

<file path=xl/calcChain.xml><?xml version="1.0" encoding="utf-8"?>
<calcChain xmlns="http://schemas.openxmlformats.org/spreadsheetml/2006/main">
  <c r="C5" i="3" l="1"/>
  <c r="B5" i="3"/>
  <c r="C29" i="4" s="1"/>
  <c r="C31" i="4"/>
  <c r="A31" i="4"/>
  <c r="C30" i="4"/>
  <c r="A30" i="4"/>
  <c r="B28" i="3"/>
  <c r="A28" i="3"/>
  <c r="C27" i="3"/>
  <c r="D27" i="3" s="1"/>
  <c r="B27" i="3"/>
  <c r="A27" i="3"/>
  <c r="C26" i="3"/>
  <c r="D26" i="3" s="1"/>
  <c r="B26" i="3"/>
  <c r="A26" i="3"/>
  <c r="A25" i="3"/>
  <c r="B24" i="3"/>
  <c r="D24" i="3" s="1"/>
  <c r="A24" i="3"/>
  <c r="D23" i="3"/>
  <c r="H23" i="3" s="1"/>
  <c r="B25" i="4" s="1"/>
  <c r="C23" i="3"/>
  <c r="A23" i="3"/>
  <c r="A22" i="3"/>
  <c r="C21" i="3"/>
  <c r="D21" i="3" s="1"/>
  <c r="F21" i="3" s="1"/>
  <c r="B18" i="4" s="1"/>
  <c r="B21" i="3"/>
  <c r="A21" i="3"/>
  <c r="C20" i="3"/>
  <c r="B20" i="3"/>
  <c r="D20" i="3" s="1"/>
  <c r="F20" i="3" s="1"/>
  <c r="B17" i="4" s="1"/>
  <c r="A20" i="3"/>
  <c r="C19" i="3"/>
  <c r="D19" i="3" s="1"/>
  <c r="F19" i="3" s="1"/>
  <c r="B16" i="4" s="1"/>
  <c r="B19" i="3"/>
  <c r="A19" i="3"/>
  <c r="A18" i="3"/>
  <c r="A17" i="3"/>
  <c r="J16" i="3"/>
  <c r="J28" i="3" s="1"/>
  <c r="C16" i="3"/>
  <c r="D16" i="3" s="1"/>
  <c r="F16" i="3" s="1"/>
  <c r="C11" i="4" s="1"/>
  <c r="B16" i="3"/>
  <c r="C15" i="3"/>
  <c r="D15" i="3" s="1"/>
  <c r="G15" i="3" s="1"/>
  <c r="B22" i="4" s="1"/>
  <c r="B15" i="3"/>
  <c r="A15" i="3"/>
  <c r="J14" i="3"/>
  <c r="C14" i="3"/>
  <c r="D14" i="3" s="1"/>
  <c r="F14" i="3" s="1"/>
  <c r="C10" i="4" s="1"/>
  <c r="B14" i="3"/>
  <c r="C13" i="3"/>
  <c r="D13" i="3" s="1"/>
  <c r="B13" i="3"/>
  <c r="A13" i="3"/>
  <c r="C12" i="3"/>
  <c r="D12" i="3" s="1"/>
  <c r="F12" i="3" s="1"/>
  <c r="C9" i="4" s="1"/>
  <c r="B12" i="3"/>
  <c r="C11" i="3"/>
  <c r="B11" i="3"/>
  <c r="D11" i="3" s="1"/>
  <c r="G11" i="3" s="1"/>
  <c r="B21" i="4" s="1"/>
  <c r="C23" i="4" s="1"/>
  <c r="A11" i="3"/>
  <c r="A10" i="3"/>
  <c r="C9" i="3"/>
  <c r="D9" i="3" s="1"/>
  <c r="E9" i="3" s="1"/>
  <c r="B15" i="4" s="1"/>
  <c r="B9" i="3"/>
  <c r="A9" i="3"/>
  <c r="D8" i="3"/>
  <c r="E8" i="3" s="1"/>
  <c r="B14" i="4" s="1"/>
  <c r="C8" i="3"/>
  <c r="B8" i="3"/>
  <c r="A8" i="3"/>
  <c r="I7" i="3"/>
  <c r="I6" i="3"/>
  <c r="D5" i="3"/>
  <c r="I5" i="3" s="1"/>
  <c r="A29" i="4"/>
  <c r="A4" i="3"/>
  <c r="A3" i="3"/>
  <c r="B53" i="2"/>
  <c r="D42" i="2"/>
  <c r="E42" i="2" s="1"/>
  <c r="C34" i="2"/>
  <c r="E34" i="2" s="1"/>
  <c r="C33" i="2"/>
  <c r="E33" i="2" s="1"/>
  <c r="E32" i="2"/>
  <c r="C32" i="2"/>
  <c r="E31" i="2"/>
  <c r="C31" i="2"/>
  <c r="C30" i="2"/>
  <c r="E30" i="2" s="1"/>
  <c r="C29" i="2"/>
  <c r="E29" i="2" s="1"/>
  <c r="C28" i="2"/>
  <c r="E28" i="2" s="1"/>
  <c r="E21" i="2"/>
  <c r="B17" i="2"/>
  <c r="C19" i="2" s="1"/>
  <c r="D8" i="2"/>
  <c r="E47" i="2" s="1"/>
  <c r="C43" i="1"/>
  <c r="G37" i="1"/>
  <c r="G35" i="1"/>
  <c r="C35" i="1"/>
  <c r="G31" i="1"/>
  <c r="C31" i="1"/>
  <c r="C37" i="1" s="1"/>
  <c r="G24" i="1"/>
  <c r="G50" i="1" s="1"/>
  <c r="G22" i="1"/>
  <c r="G21" i="1"/>
  <c r="C21" i="1"/>
  <c r="G19" i="1"/>
  <c r="C19" i="1"/>
  <c r="G17" i="1"/>
  <c r="C17" i="1"/>
  <c r="C22" i="1" s="1"/>
  <c r="G13" i="1"/>
  <c r="F11" i="1"/>
  <c r="C53" i="2" s="1"/>
  <c r="B11" i="1"/>
  <c r="C13" i="1" s="1"/>
  <c r="C49" i="1" l="1"/>
  <c r="C45" i="1"/>
  <c r="C19" i="4"/>
  <c r="C24" i="1"/>
  <c r="C50" i="1" s="1"/>
  <c r="C51" i="1" s="1"/>
  <c r="C20" i="2"/>
  <c r="E19" i="2"/>
  <c r="H24" i="3"/>
  <c r="B26" i="4"/>
  <c r="C27" i="4"/>
  <c r="E11" i="2"/>
  <c r="E27" i="2"/>
  <c r="E36" i="2"/>
  <c r="E48" i="2"/>
  <c r="E37" i="2"/>
  <c r="E49" i="2"/>
  <c r="E14" i="2"/>
  <c r="D38" i="2"/>
  <c r="E40" i="2"/>
  <c r="E15" i="2"/>
  <c r="E16" i="2"/>
  <c r="E17" i="2"/>
  <c r="E18" i="2"/>
  <c r="E43" i="2"/>
  <c r="E8" i="2"/>
  <c r="E46" i="2"/>
  <c r="E9" i="2"/>
  <c r="E10" i="2"/>
  <c r="E35" i="2"/>
  <c r="E20" i="2" l="1"/>
  <c r="D22" i="2"/>
  <c r="D44" i="2"/>
  <c r="E44" i="2" s="1"/>
  <c r="E38" i="2"/>
  <c r="E22" i="2" l="1"/>
  <c r="D23" i="2"/>
  <c r="E23" i="2" l="1"/>
  <c r="D45" i="2"/>
  <c r="D46" i="2" l="1"/>
  <c r="D47" i="2" s="1"/>
  <c r="E45" i="2"/>
  <c r="B52" i="2" l="1"/>
  <c r="F42" i="1"/>
  <c r="C28" i="3" l="1"/>
  <c r="C52" i="2"/>
  <c r="G43" i="1"/>
  <c r="G49" i="1" l="1"/>
  <c r="G51" i="1" s="1"/>
  <c r="G45" i="1"/>
  <c r="C8" i="4"/>
  <c r="C12" i="4" s="1"/>
  <c r="C28" i="4" s="1"/>
  <c r="C32" i="4" s="1"/>
  <c r="D28" i="3"/>
  <c r="F28" i="3" s="1"/>
</calcChain>
</file>

<file path=xl/sharedStrings.xml><?xml version="1.0" encoding="utf-8"?>
<sst xmlns="http://schemas.openxmlformats.org/spreadsheetml/2006/main" count="177" uniqueCount="125">
  <si>
    <t>EMPRESA EL ÉXITO</t>
  </si>
  <si>
    <t xml:space="preserve">BALANCE GENERAL </t>
  </si>
  <si>
    <t>AL 31 DE DICIEMBRE 2023</t>
  </si>
  <si>
    <t>AL 31 DE DICIEMBRE 2024</t>
  </si>
  <si>
    <t>Expresado en dólares</t>
  </si>
  <si>
    <t>ACTIVO</t>
  </si>
  <si>
    <t>COLUMNA 1</t>
  </si>
  <si>
    <t>COLUMNA 2</t>
  </si>
  <si>
    <t>Corriente</t>
  </si>
  <si>
    <t>Caja</t>
  </si>
  <si>
    <t>Banco Americano</t>
  </si>
  <si>
    <t>Banco C &amp; P</t>
  </si>
  <si>
    <t>Inventario de mercaderías</t>
  </si>
  <si>
    <t>Cuentas por cobrar</t>
  </si>
  <si>
    <t>Total activo corriente</t>
  </si>
  <si>
    <t>No Corriente</t>
  </si>
  <si>
    <t>Mobiliario y equipo</t>
  </si>
  <si>
    <t>Depreciación acumulada</t>
  </si>
  <si>
    <t>Equipo de computación</t>
  </si>
  <si>
    <t>Vehículos</t>
  </si>
  <si>
    <t>Total activo  no corriente</t>
  </si>
  <si>
    <t>TOTAL DEL ACTIVO</t>
  </si>
  <si>
    <t>PASIVO</t>
  </si>
  <si>
    <t>Proveedores</t>
  </si>
  <si>
    <t>Documentos por pagar</t>
  </si>
  <si>
    <t>Cuentas por pagar</t>
  </si>
  <si>
    <t>Total pasivo corriente</t>
  </si>
  <si>
    <t>No corriente</t>
  </si>
  <si>
    <t>Préstamo banco X</t>
  </si>
  <si>
    <t>Préstamo banco M &amp; T</t>
  </si>
  <si>
    <t>Total pasivo no corriente</t>
  </si>
  <si>
    <t>TOTAL PASIVO</t>
  </si>
  <si>
    <t>CAPITAL</t>
  </si>
  <si>
    <t>Capital autorizado</t>
  </si>
  <si>
    <t>Acciones por suscribir</t>
  </si>
  <si>
    <t>Utilidad del ejercicio</t>
  </si>
  <si>
    <t>Total patrimonio</t>
  </si>
  <si>
    <t>TOTAL SUMA PASIVO Y CAPITAL</t>
  </si>
  <si>
    <t>CONFIRMACION</t>
  </si>
  <si>
    <t>A = P + C</t>
  </si>
  <si>
    <t>A</t>
  </si>
  <si>
    <t>ESTADO DE RESULTADOS</t>
  </si>
  <si>
    <t>PERIODO DEL 01 DE ENERO AL 31 DE DICIEMBRE 2024</t>
  </si>
  <si>
    <t>COLUMNA 3</t>
  </si>
  <si>
    <t>%</t>
  </si>
  <si>
    <t>INGRESOS</t>
  </si>
  <si>
    <t>Total en ventas y servicios</t>
  </si>
  <si>
    <t>Ventas tienda 1</t>
  </si>
  <si>
    <t>Ventas tienda 2</t>
  </si>
  <si>
    <t>Servicios prestados</t>
  </si>
  <si>
    <t>COSTO DE VENTAS</t>
  </si>
  <si>
    <t>Inventario inicial de mercadería I</t>
  </si>
  <si>
    <t>Compras de mercaderías</t>
  </si>
  <si>
    <t>(+) Fletes sobre compras</t>
  </si>
  <si>
    <t>Compras brutas</t>
  </si>
  <si>
    <t>(-) Devoluciones sobre compras</t>
  </si>
  <si>
    <t>Compras netas</t>
  </si>
  <si>
    <t>Mercadreía disponible</t>
  </si>
  <si>
    <t>(-) Inventario final de mercadería II</t>
  </si>
  <si>
    <t>Costo de ventas</t>
  </si>
  <si>
    <t xml:space="preserve">Utilidad bruta </t>
  </si>
  <si>
    <t>GASTOS DE OPERACIÓN</t>
  </si>
  <si>
    <t>Gastos administrativos</t>
  </si>
  <si>
    <t>Gastos generales</t>
  </si>
  <si>
    <t>Alquileres</t>
  </si>
  <si>
    <t>Papelería y útiles</t>
  </si>
  <si>
    <t>Servicio telefónico é internet</t>
  </si>
  <si>
    <t>Sueldos y salarios</t>
  </si>
  <si>
    <t xml:space="preserve">Bonificación incentivo </t>
  </si>
  <si>
    <t xml:space="preserve">Bono 14 </t>
  </si>
  <si>
    <t>Aguinaldo</t>
  </si>
  <si>
    <t xml:space="preserve">Depreciación mobiliario y equipo </t>
  </si>
  <si>
    <t>Depreciación equipo de computación</t>
  </si>
  <si>
    <t>Depreciación vehículos</t>
  </si>
  <si>
    <t>Gastos y productos financieros</t>
  </si>
  <si>
    <t>Intereses sobre préstamos</t>
  </si>
  <si>
    <t>Intereses devengados cuentas bancarias</t>
  </si>
  <si>
    <t>Total gastos de operación</t>
  </si>
  <si>
    <t>UTILIDAD EN OPERACIÓN</t>
  </si>
  <si>
    <t>ISR anual 25%</t>
  </si>
  <si>
    <t>UTILIDAD NETA</t>
  </si>
  <si>
    <t>CONFIRMACIONES</t>
  </si>
  <si>
    <t>verificando la utilidad neta</t>
  </si>
  <si>
    <t>inventario II de mercaderias</t>
  </si>
  <si>
    <t>CUENTAS</t>
  </si>
  <si>
    <t>VARIACIONES</t>
  </si>
  <si>
    <t>CAMBIOS</t>
  </si>
  <si>
    <t>INVERSIÓN</t>
  </si>
  <si>
    <t>FINANCIAMIENTO</t>
  </si>
  <si>
    <t>EFECTIVO</t>
  </si>
  <si>
    <t>ANALISIS DE CAMBIOS</t>
  </si>
  <si>
    <t>Ha aumentado el dinero en estas cuentas que reflejan efectivo o dinero literalmente</t>
  </si>
  <si>
    <t>Se ha comprado mercaderia por lo que el dinero disminuye</t>
  </si>
  <si>
    <t>Se ha vendido al credito o se ha brindado una venta que es exigible</t>
  </si>
  <si>
    <t>Depreciacion mobiliario y equipo</t>
  </si>
  <si>
    <t>no cuenta como movimiento de dinero</t>
  </si>
  <si>
    <t>Depreciacion equipo de computacion</t>
  </si>
  <si>
    <t>Depreciacion vehiculos</t>
  </si>
  <si>
    <t>EMPRESA LA ESQUINA 20</t>
  </si>
  <si>
    <t>ESTADO DE FLUJO DE EFECTIVO</t>
  </si>
  <si>
    <t>Expresado en quetzales</t>
  </si>
  <si>
    <t>VARIACIONES DE FLUJO DE EFECTIVO</t>
  </si>
  <si>
    <t>Gastos por depreciacion de mobiliario y equipo</t>
  </si>
  <si>
    <t>Gastos por depreciacion de equipo de computacion</t>
  </si>
  <si>
    <t>Gasto por depreciacion de vehiculos</t>
  </si>
  <si>
    <t>utilidad ajustada</t>
  </si>
  <si>
    <t>FLUJO DE EFECTIVO POR ACTIVIDADES DE OPERACIÓN</t>
  </si>
  <si>
    <t>Aumento por mercaderias</t>
  </si>
  <si>
    <t>Aumento de cuentas por cobrar</t>
  </si>
  <si>
    <t>Aumento por proveedores</t>
  </si>
  <si>
    <t>Aumento por documentos por pagar</t>
  </si>
  <si>
    <t>Aumento por cuentas por pagar</t>
  </si>
  <si>
    <t>efectivo neto por actividades de operación</t>
  </si>
  <si>
    <t>FLUJO DE EFECTIVO POR ACTIVIDADES DE INVERSIÓN</t>
  </si>
  <si>
    <t>Aumento por mobiliario y equipo</t>
  </si>
  <si>
    <t>Aumento por vehiculos</t>
  </si>
  <si>
    <t>efectivo neto por actividades de inversión</t>
  </si>
  <si>
    <t>FLUJO DE EFECTIVO POR ACTIVIDADES DE FINANCIAMIENTO</t>
  </si>
  <si>
    <t>Aumento por prestamo de banco M &amp; K</t>
  </si>
  <si>
    <t>Disminucion por prestamo banco X</t>
  </si>
  <si>
    <t>efectivo neto por actividades de financiamiento</t>
  </si>
  <si>
    <t>FLUJO DE EFECTIVO NETO Y EQUIVALENTES DE EFECTIVO</t>
  </si>
  <si>
    <t>efectivo y equivalentes de efectivo al 31 de diciembre 2024</t>
  </si>
  <si>
    <t>efectivo y equivalentes de efectivo</t>
  </si>
  <si>
    <t>TOTAL DEL PASIVO Y CAPITAL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</si>
</sst>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2" formatCode="_-* #,##0.00_-;\-* #,##0.00_-;_-* &quot;-&quot;??_-;_-@_-"/>
    <numFmt numFmtId="173" formatCode="[$$-409]#,##0.00"/>
    <numFmt numFmtId="174" formatCode="#,##0.00\ [$GTQ];[Red]\-#,##0.00\ [$GTQ]"/>
    <numFmt numFmtId="176" formatCode="[$GTQ]\ #,##0.00_);[Red]\([$GTQ]\ #,##0.00\)"/>
  </numFmts>
  <fonts count="1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Times New Roman"/>
      <family val="1"/>
    </font>
    <font>
      <b/>
      <sz val="14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u/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1"/>
      <color rgb="FF000000"/>
      <name val="Calibri"/>
      <family val="2"/>
    </font>
    <font>
      <b/>
      <sz val="11"/>
      <color rgb="FFE6E6E6"/>
      <name val="Calibri"/>
      <family val="2"/>
    </font>
    <font>
      <sz val="11"/>
      <color rgb="FFFF0000"/>
      <name val="Calibri"/>
      <family val="2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B050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242424"/>
        <bgColor rgb="FFFFFFFF"/>
      </patternFill>
    </fill>
    <fill>
      <patternFill patternType="solid">
        <fgColor rgb="FFFFFF9E"/>
        <bgColor rgb="FFFFFFFF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</borders>
  <cellStyleXfs count="3">
    <xf numFmtId="0" fontId="0" fillId="0" borderId="0"/>
    <xf numFmtId="172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57">
    <xf numFmtId="0" fontId="0" fillId="0" borderId="0" xfId="0"/>
    <xf numFmtId="0" fontId="0" fillId="2" borderId="1" xfId="0" applyFill="1" applyBorder="1"/>
    <xf numFmtId="172" fontId="1" fillId="2" borderId="1" xfId="1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wrapText="1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10" fontId="3" fillId="2" borderId="1" xfId="2" applyNumberFormat="1" applyFont="1" applyFill="1" applyBorder="1" applyAlignment="1">
      <alignment horizontal="center"/>
    </xf>
    <xf numFmtId="10" fontId="5" fillId="2" borderId="1" xfId="2" applyNumberFormat="1" applyFont="1" applyFill="1" applyBorder="1" applyAlignment="1">
      <alignment horizontal="center" vertical="center"/>
    </xf>
    <xf numFmtId="0" fontId="5" fillId="2" borderId="1" xfId="0" applyFont="1" applyFill="1" applyBorder="1"/>
    <xf numFmtId="10" fontId="5" fillId="2" borderId="1" xfId="2" applyNumberFormat="1" applyFont="1" applyFill="1" applyBorder="1" applyAlignment="1">
      <alignment horizontal="center"/>
    </xf>
    <xf numFmtId="0" fontId="6" fillId="2" borderId="1" xfId="0" applyFont="1" applyFill="1" applyBorder="1"/>
    <xf numFmtId="174" fontId="1" fillId="2" borderId="1" xfId="1" applyNumberFormat="1" applyFont="1" applyFill="1" applyBorder="1" applyAlignment="1">
      <alignment horizontal="center"/>
    </xf>
    <xf numFmtId="174" fontId="1" fillId="2" borderId="1" xfId="0" applyNumberFormat="1" applyFont="1" applyFill="1" applyBorder="1" applyAlignment="1">
      <alignment horizontal="center"/>
    </xf>
    <xf numFmtId="174" fontId="1" fillId="3" borderId="2" xfId="0" applyNumberFormat="1" applyFont="1" applyFill="1" applyBorder="1" applyAlignment="1">
      <alignment horizontal="center"/>
    </xf>
    <xf numFmtId="174" fontId="1" fillId="2" borderId="1" xfId="0" applyNumberFormat="1" applyFont="1" applyFill="1" applyBorder="1" applyAlignment="1">
      <alignment horizontal="left"/>
    </xf>
    <xf numFmtId="174" fontId="1" fillId="3" borderId="2" xfId="1" applyNumberFormat="1" applyFont="1" applyFill="1" applyBorder="1" applyAlignment="1">
      <alignment horizontal="center"/>
    </xf>
    <xf numFmtId="174" fontId="0" fillId="2" borderId="1" xfId="1" applyNumberFormat="1" applyFill="1" applyBorder="1" applyAlignment="1">
      <alignment horizontal="left"/>
    </xf>
    <xf numFmtId="174" fontId="0" fillId="2" borderId="1" xfId="0" applyNumberFormat="1" applyFill="1" applyBorder="1" applyAlignment="1">
      <alignment horizontal="left"/>
    </xf>
    <xf numFmtId="174" fontId="0" fillId="2" borderId="1" xfId="1" applyNumberFormat="1" applyFill="1" applyBorder="1" applyAlignment="1">
      <alignment horizontal="center"/>
    </xf>
    <xf numFmtId="174" fontId="2" fillId="2" borderId="1" xfId="0" applyNumberFormat="1" applyFont="1" applyFill="1" applyBorder="1" applyAlignment="1">
      <alignment horizontal="left" vertical="center"/>
    </xf>
    <xf numFmtId="174" fontId="0" fillId="4" borderId="3" xfId="1" applyNumberFormat="1" applyFill="1" applyBorder="1" applyAlignment="1">
      <alignment horizontal="center"/>
    </xf>
    <xf numFmtId="174" fontId="0" fillId="3" borderId="2" xfId="0" applyNumberFormat="1" applyFill="1" applyBorder="1" applyAlignment="1">
      <alignment horizontal="center"/>
    </xf>
    <xf numFmtId="174" fontId="0" fillId="2" borderId="1" xfId="0" applyNumberFormat="1" applyFill="1" applyBorder="1" applyAlignment="1">
      <alignment horizontal="left" wrapText="1"/>
    </xf>
    <xf numFmtId="174" fontId="1" fillId="5" borderId="4" xfId="1" applyNumberFormat="1" applyFont="1" applyFill="1" applyBorder="1" applyAlignment="1">
      <alignment horizontal="center"/>
    </xf>
    <xf numFmtId="174" fontId="0" fillId="2" borderId="1" xfId="0" applyNumberFormat="1" applyFill="1" applyBorder="1"/>
    <xf numFmtId="174" fontId="1" fillId="4" borderId="3" xfId="1" applyNumberFormat="1" applyFont="1" applyFill="1" applyBorder="1" applyAlignment="1">
      <alignment horizontal="center"/>
    </xf>
    <xf numFmtId="174" fontId="1" fillId="5" borderId="4" xfId="0" applyNumberFormat="1" applyFont="1" applyFill="1" applyBorder="1" applyAlignment="1">
      <alignment horizontal="center"/>
    </xf>
    <xf numFmtId="174" fontId="3" fillId="2" borderId="1" xfId="0" applyNumberFormat="1" applyFont="1" applyFill="1" applyBorder="1"/>
    <xf numFmtId="174" fontId="3" fillId="2" borderId="1" xfId="0" applyNumberFormat="1" applyFont="1" applyFill="1" applyBorder="1" applyAlignment="1">
      <alignment horizontal="center"/>
    </xf>
    <xf numFmtId="174" fontId="5" fillId="2" borderId="1" xfId="0" applyNumberFormat="1" applyFont="1" applyFill="1" applyBorder="1" applyAlignment="1">
      <alignment horizontal="center"/>
    </xf>
    <xf numFmtId="174" fontId="5" fillId="2" borderId="1" xfId="0" applyNumberFormat="1" applyFont="1" applyFill="1" applyBorder="1"/>
    <xf numFmtId="174" fontId="3" fillId="4" borderId="3" xfId="0" applyNumberFormat="1" applyFont="1" applyFill="1" applyBorder="1"/>
    <xf numFmtId="174" fontId="5" fillId="4" borderId="3" xfId="0" applyNumberFormat="1" applyFont="1" applyFill="1" applyBorder="1"/>
    <xf numFmtId="174" fontId="5" fillId="5" borderId="4" xfId="0" applyNumberFormat="1" applyFont="1" applyFill="1" applyBorder="1"/>
    <xf numFmtId="0" fontId="7" fillId="2" borderId="1" xfId="0" applyFont="1" applyFill="1" applyBorder="1"/>
    <xf numFmtId="0" fontId="8" fillId="0" borderId="0" xfId="0" applyFont="1"/>
    <xf numFmtId="174" fontId="0" fillId="0" borderId="0" xfId="0" applyNumberFormat="1"/>
    <xf numFmtId="173" fontId="0" fillId="0" borderId="0" xfId="0" applyNumberFormat="1"/>
    <xf numFmtId="174" fontId="9" fillId="6" borderId="5" xfId="0" applyNumberFormat="1" applyFont="1" applyFill="1" applyBorder="1"/>
    <xf numFmtId="0" fontId="1" fillId="0" borderId="0" xfId="0" applyFont="1" applyAlignment="1">
      <alignment horizontal="left"/>
    </xf>
    <xf numFmtId="173" fontId="1" fillId="0" borderId="0" xfId="0" applyNumberFormat="1" applyFont="1"/>
    <xf numFmtId="174" fontId="0" fillId="0" borderId="6" xfId="0" applyNumberFormat="1" applyBorder="1"/>
    <xf numFmtId="174" fontId="1" fillId="0" borderId="0" xfId="0" applyNumberFormat="1" applyFont="1"/>
    <xf numFmtId="0" fontId="0" fillId="0" borderId="0" xfId="0" applyAlignment="1">
      <alignment wrapText="1"/>
    </xf>
    <xf numFmtId="0" fontId="0" fillId="7" borderId="7" xfId="0" applyFill="1" applyBorder="1"/>
    <xf numFmtId="0" fontId="10" fillId="0" borderId="0" xfId="0" applyFont="1" applyAlignment="1">
      <alignment wrapText="1"/>
    </xf>
    <xf numFmtId="0" fontId="4" fillId="2" borderId="1" xfId="0" applyFont="1" applyFill="1" applyBorder="1" applyAlignment="1">
      <alignment horizontal="left"/>
    </xf>
    <xf numFmtId="174" fontId="4" fillId="2" borderId="1" xfId="0" applyNumberFormat="1" applyFont="1" applyFill="1" applyBorder="1" applyAlignment="1">
      <alignment horizontal="left"/>
    </xf>
    <xf numFmtId="174" fontId="9" fillId="6" borderId="5" xfId="0" applyNumberFormat="1" applyFont="1" applyFill="1" applyBorder="1" applyAlignment="1">
      <alignment horizontal="center" vertical="center"/>
    </xf>
    <xf numFmtId="0" fontId="9" fillId="6" borderId="5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176" fontId="0" fillId="0" borderId="0" xfId="0" applyNumberFormat="1" applyAlignment="1">
      <alignment wrapText="1"/>
    </xf>
    <xf numFmtId="0" fontId="1" fillId="0" borderId="0" xfId="0" applyFont="1"/>
  </cellXfs>
  <cellStyles count="3">
    <cellStyle name="Comma" xfId="1" builtinId="3" customBuiltin="1"/>
    <cellStyle name="Normal" xfId="0" builtinId="0" customBuiltin="1"/>
    <cellStyle name="Percent" xfId="2" builtinId="5" customBuiltin="1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  <ext uri="smNativeData">
      <pm:charStyles xmlns:pm="smNativeData" id="1756407961" count="1">
        <pm:charStyle name="Normal" fontId="0" Id="1"/>
      </pm:charStyles>
      <pm:colors xmlns:pm="smNativeData" id="1756407961" count="5">
        <pm:color name="Color 24" rgb="00B050"/>
        <pm:color name="Color 25" rgb="FFC000"/>
        <pm:color name="Color 26" rgb="9BC2E6"/>
        <pm:color name="Color 27" rgb="F4AF82"/>
        <pm:color name="Color 28" rgb="242424"/>
      </pm:color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Basic Roman"/>
        <a:cs typeface="Basic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  <pageSetUpPr fitToPage="1"/>
  </sheetPr>
  <dimension ref="A1:G51"/>
  <sheetViews>
    <sheetView zoomScale="153" workbookViewId="0">
      <selection activeCell="F57" sqref="F57"/>
    </sheetView>
  </sheetViews>
  <sheetFormatPr defaultColWidth="11.54296875" defaultRowHeight="14.5" x14ac:dyDescent="0.35"/>
  <cols>
    <col min="1" max="1" width="32.6328125" style="4" customWidth="1"/>
    <col min="2" max="3" width="16.453125" style="15" customWidth="1"/>
    <col min="4" max="4" width="1" style="16" customWidth="1"/>
    <col min="5" max="5" width="32.6328125" style="16" customWidth="1"/>
    <col min="6" max="7" width="16.453125" style="15" customWidth="1"/>
    <col min="8" max="8" width="11.54296875" style="1" customWidth="1"/>
    <col min="9" max="16384" width="11.54296875" style="1"/>
  </cols>
  <sheetData>
    <row r="1" spans="1:7" x14ac:dyDescent="0.35">
      <c r="A1" s="3" t="s">
        <v>0</v>
      </c>
      <c r="D1" s="17"/>
      <c r="E1" s="18" t="s">
        <v>0</v>
      </c>
    </row>
    <row r="2" spans="1:7" x14ac:dyDescent="0.35">
      <c r="A2" s="3" t="s">
        <v>1</v>
      </c>
      <c r="D2" s="17"/>
      <c r="E2" s="18" t="s">
        <v>1</v>
      </c>
    </row>
    <row r="3" spans="1:7" x14ac:dyDescent="0.35">
      <c r="A3" s="3" t="s">
        <v>2</v>
      </c>
      <c r="D3" s="17"/>
      <c r="E3" s="18" t="s">
        <v>3</v>
      </c>
    </row>
    <row r="4" spans="1:7" s="2" customFormat="1" x14ac:dyDescent="0.35">
      <c r="A4" s="3" t="s">
        <v>4</v>
      </c>
      <c r="B4" s="15"/>
      <c r="C4" s="15"/>
      <c r="D4" s="17"/>
      <c r="E4" s="18" t="s">
        <v>4</v>
      </c>
      <c r="F4" s="15"/>
      <c r="G4" s="15"/>
    </row>
    <row r="5" spans="1:7" s="2" customFormat="1" x14ac:dyDescent="0.35">
      <c r="A5" s="3"/>
      <c r="B5" s="15"/>
      <c r="C5" s="15"/>
      <c r="D5" s="17"/>
      <c r="E5" s="18"/>
      <c r="F5" s="15"/>
      <c r="G5" s="15"/>
    </row>
    <row r="6" spans="1:7" s="2" customFormat="1" x14ac:dyDescent="0.35">
      <c r="A6" s="3" t="s">
        <v>5</v>
      </c>
      <c r="B6" s="15" t="s">
        <v>6</v>
      </c>
      <c r="C6" s="15" t="s">
        <v>7</v>
      </c>
      <c r="D6" s="19"/>
      <c r="E6" s="18" t="s">
        <v>5</v>
      </c>
      <c r="F6" s="15" t="s">
        <v>6</v>
      </c>
      <c r="G6" s="15" t="s">
        <v>7</v>
      </c>
    </row>
    <row r="7" spans="1:7" s="2" customFormat="1" x14ac:dyDescent="0.35">
      <c r="A7" s="3" t="s">
        <v>8</v>
      </c>
      <c r="B7" s="15"/>
      <c r="C7" s="15"/>
      <c r="D7" s="17"/>
      <c r="E7" s="18" t="s">
        <v>8</v>
      </c>
      <c r="F7" s="15"/>
      <c r="G7" s="15"/>
    </row>
    <row r="8" spans="1:7" s="2" customFormat="1" x14ac:dyDescent="0.35">
      <c r="A8" s="5" t="s">
        <v>9</v>
      </c>
      <c r="B8" s="20">
        <v>22300</v>
      </c>
      <c r="C8" s="20"/>
      <c r="D8" s="17"/>
      <c r="E8" s="21" t="s">
        <v>9</v>
      </c>
      <c r="F8" s="20">
        <v>28500</v>
      </c>
      <c r="G8" s="20"/>
    </row>
    <row r="9" spans="1:7" s="2" customFormat="1" x14ac:dyDescent="0.35">
      <c r="A9" s="5" t="s">
        <v>10</v>
      </c>
      <c r="B9" s="20">
        <v>128730</v>
      </c>
      <c r="C9" s="20"/>
      <c r="D9" s="17"/>
      <c r="E9" s="21" t="s">
        <v>10</v>
      </c>
      <c r="F9" s="20">
        <v>328730</v>
      </c>
      <c r="G9" s="20"/>
    </row>
    <row r="10" spans="1:7" s="2" customFormat="1" x14ac:dyDescent="0.35">
      <c r="A10" s="5" t="s">
        <v>11</v>
      </c>
      <c r="B10" s="20">
        <v>438700</v>
      </c>
      <c r="C10" s="15"/>
      <c r="D10" s="17"/>
      <c r="E10" s="21" t="s">
        <v>11</v>
      </c>
      <c r="F10" s="20">
        <v>686800</v>
      </c>
      <c r="G10" s="15"/>
    </row>
    <row r="11" spans="1:7" s="2" customFormat="1" ht="15.5" x14ac:dyDescent="0.35">
      <c r="A11" s="6" t="s">
        <v>12</v>
      </c>
      <c r="B11" s="22">
        <f>'EDO. DE RESULTADOS'!C14</f>
        <v>2050300</v>
      </c>
      <c r="C11" s="22"/>
      <c r="D11" s="17"/>
      <c r="E11" s="23" t="s">
        <v>12</v>
      </c>
      <c r="F11" s="22">
        <f>-'EDO. DE RESULTADOS'!C21</f>
        <v>2248600</v>
      </c>
      <c r="G11" s="22"/>
    </row>
    <row r="12" spans="1:7" s="2" customFormat="1" x14ac:dyDescent="0.35">
      <c r="A12" s="5" t="s">
        <v>13</v>
      </c>
      <c r="B12" s="24">
        <v>2870</v>
      </c>
      <c r="C12" s="22"/>
      <c r="D12" s="17"/>
      <c r="E12" s="21" t="s">
        <v>13</v>
      </c>
      <c r="F12" s="24">
        <v>25825</v>
      </c>
      <c r="G12" s="22"/>
    </row>
    <row r="13" spans="1:7" s="2" customFormat="1" x14ac:dyDescent="0.35">
      <c r="A13" s="3" t="s">
        <v>14</v>
      </c>
      <c r="B13" s="22"/>
      <c r="C13" s="15">
        <f>SUM(B8:B12)</f>
        <v>2642900</v>
      </c>
      <c r="D13" s="17"/>
      <c r="E13" s="18" t="s">
        <v>14</v>
      </c>
      <c r="F13" s="22"/>
      <c r="G13" s="15">
        <f>SUM(F8:F12)</f>
        <v>3318455</v>
      </c>
    </row>
    <row r="14" spans="1:7" s="2" customFormat="1" x14ac:dyDescent="0.35">
      <c r="A14" s="5"/>
      <c r="B14" s="22"/>
      <c r="C14" s="22"/>
      <c r="D14" s="17"/>
      <c r="E14" s="21"/>
      <c r="F14" s="22"/>
      <c r="G14" s="22"/>
    </row>
    <row r="15" spans="1:7" s="2" customFormat="1" x14ac:dyDescent="0.35">
      <c r="A15" s="3" t="s">
        <v>15</v>
      </c>
      <c r="B15" s="22"/>
      <c r="C15" s="15"/>
      <c r="D15" s="17"/>
      <c r="E15" s="18" t="s">
        <v>15</v>
      </c>
      <c r="F15" s="22"/>
      <c r="G15" s="15"/>
    </row>
    <row r="16" spans="1:7" s="2" customFormat="1" x14ac:dyDescent="0.35">
      <c r="A16" s="5" t="s">
        <v>16</v>
      </c>
      <c r="B16" s="22">
        <v>48300</v>
      </c>
      <c r="C16" s="15"/>
      <c r="D16" s="25"/>
      <c r="E16" s="21" t="s">
        <v>16</v>
      </c>
      <c r="F16" s="22">
        <v>58750</v>
      </c>
      <c r="G16" s="15"/>
    </row>
    <row r="17" spans="1:7" s="2" customFormat="1" x14ac:dyDescent="0.35">
      <c r="A17" s="7" t="s">
        <v>17</v>
      </c>
      <c r="B17" s="24">
        <v>-19050</v>
      </c>
      <c r="C17" s="22">
        <f>SUM(B16:B17)</f>
        <v>29250</v>
      </c>
      <c r="D17" s="25"/>
      <c r="E17" s="26" t="s">
        <v>17</v>
      </c>
      <c r="F17" s="24">
        <v>-29410</v>
      </c>
      <c r="G17" s="22">
        <f>SUM(F16:F17)</f>
        <v>29340</v>
      </c>
    </row>
    <row r="18" spans="1:7" s="2" customFormat="1" x14ac:dyDescent="0.35">
      <c r="A18" s="5" t="s">
        <v>18</v>
      </c>
      <c r="B18" s="22">
        <v>35450</v>
      </c>
      <c r="C18" s="15"/>
      <c r="D18" s="25"/>
      <c r="E18" s="21" t="s">
        <v>18</v>
      </c>
      <c r="F18" s="22">
        <v>35450</v>
      </c>
      <c r="G18" s="15"/>
    </row>
    <row r="19" spans="1:7" s="2" customFormat="1" x14ac:dyDescent="0.35">
      <c r="A19" s="7" t="s">
        <v>17</v>
      </c>
      <c r="B19" s="24">
        <v>-7975</v>
      </c>
      <c r="C19" s="22">
        <f>SUM(B18:B19)</f>
        <v>27475</v>
      </c>
      <c r="D19" s="25"/>
      <c r="E19" s="26" t="s">
        <v>17</v>
      </c>
      <c r="F19" s="24">
        <v>-16725</v>
      </c>
      <c r="G19" s="22">
        <f>SUM(F18:F19)</f>
        <v>18725</v>
      </c>
    </row>
    <row r="20" spans="1:7" s="2" customFormat="1" x14ac:dyDescent="0.35">
      <c r="A20" s="5" t="s">
        <v>19</v>
      </c>
      <c r="B20" s="22">
        <v>125900</v>
      </c>
      <c r="C20" s="15"/>
      <c r="D20" s="17"/>
      <c r="E20" s="21" t="s">
        <v>19</v>
      </c>
      <c r="F20" s="22">
        <v>150900</v>
      </c>
      <c r="G20" s="15"/>
    </row>
    <row r="21" spans="1:7" s="2" customFormat="1" x14ac:dyDescent="0.35">
      <c r="A21" s="7" t="s">
        <v>17</v>
      </c>
      <c r="B21" s="24">
        <v>-26000</v>
      </c>
      <c r="C21" s="24">
        <f>SUM(B20:B21)</f>
        <v>99900</v>
      </c>
      <c r="D21" s="25"/>
      <c r="E21" s="26" t="s">
        <v>17</v>
      </c>
      <c r="F21" s="24">
        <v>-47860</v>
      </c>
      <c r="G21" s="24">
        <f>SUM(F20:F21)</f>
        <v>103040</v>
      </c>
    </row>
    <row r="22" spans="1:7" s="2" customFormat="1" x14ac:dyDescent="0.35">
      <c r="A22" s="3" t="s">
        <v>20</v>
      </c>
      <c r="B22" s="22"/>
      <c r="C22" s="15">
        <f>SUM(C17:C21)</f>
        <v>156625</v>
      </c>
      <c r="D22" s="19"/>
      <c r="E22" s="18" t="s">
        <v>20</v>
      </c>
      <c r="F22" s="22"/>
      <c r="G22" s="15">
        <f>SUM(G17:G21)</f>
        <v>151105</v>
      </c>
    </row>
    <row r="23" spans="1:7" s="2" customFormat="1" x14ac:dyDescent="0.35">
      <c r="A23" s="3"/>
      <c r="B23" s="22"/>
      <c r="C23" s="15"/>
      <c r="D23" s="19"/>
      <c r="E23" s="18"/>
      <c r="F23" s="22"/>
      <c r="G23" s="15"/>
    </row>
    <row r="24" spans="1:7" s="2" customFormat="1" x14ac:dyDescent="0.35">
      <c r="A24" s="3" t="s">
        <v>21</v>
      </c>
      <c r="B24" s="22"/>
      <c r="C24" s="27">
        <f>SUM(C13,C22)</f>
        <v>2799525</v>
      </c>
      <c r="D24" s="25"/>
      <c r="E24" s="18" t="s">
        <v>21</v>
      </c>
      <c r="F24" s="22"/>
      <c r="G24" s="27">
        <f>SUM(G13,G22)</f>
        <v>3469560</v>
      </c>
    </row>
    <row r="25" spans="1:7" s="2" customFormat="1" x14ac:dyDescent="0.35">
      <c r="A25" s="3"/>
      <c r="B25" s="22"/>
      <c r="C25" s="15"/>
      <c r="D25" s="17"/>
      <c r="E25" s="16"/>
      <c r="F25" s="22"/>
      <c r="G25" s="15"/>
    </row>
    <row r="26" spans="1:7" s="2" customFormat="1" x14ac:dyDescent="0.35">
      <c r="A26" s="3" t="s">
        <v>22</v>
      </c>
      <c r="B26" s="22"/>
      <c r="C26" s="15"/>
      <c r="D26" s="17"/>
      <c r="E26" s="18" t="s">
        <v>22</v>
      </c>
      <c r="F26" s="22"/>
      <c r="G26" s="15"/>
    </row>
    <row r="27" spans="1:7" x14ac:dyDescent="0.35">
      <c r="A27" s="3" t="s">
        <v>8</v>
      </c>
      <c r="B27" s="22"/>
      <c r="D27" s="17"/>
      <c r="E27" s="18" t="s">
        <v>8</v>
      </c>
      <c r="F27" s="22"/>
    </row>
    <row r="28" spans="1:7" x14ac:dyDescent="0.35">
      <c r="A28" s="5" t="s">
        <v>23</v>
      </c>
      <c r="B28" s="22">
        <v>1278565</v>
      </c>
      <c r="C28" s="28"/>
      <c r="D28" s="17"/>
      <c r="E28" s="21" t="s">
        <v>23</v>
      </c>
      <c r="F28" s="22">
        <v>1302602.5</v>
      </c>
      <c r="G28" s="28"/>
    </row>
    <row r="29" spans="1:7" x14ac:dyDescent="0.35">
      <c r="A29" s="5" t="s">
        <v>24</v>
      </c>
      <c r="B29" s="22">
        <v>13150</v>
      </c>
      <c r="C29" s="28"/>
      <c r="D29" s="17"/>
      <c r="E29" s="21" t="s">
        <v>24</v>
      </c>
      <c r="F29" s="22">
        <v>28425</v>
      </c>
      <c r="G29" s="28"/>
    </row>
    <row r="30" spans="1:7" x14ac:dyDescent="0.35">
      <c r="A30" s="5" t="s">
        <v>25</v>
      </c>
      <c r="B30" s="24">
        <v>20125</v>
      </c>
      <c r="C30" s="28"/>
      <c r="D30" s="17"/>
      <c r="E30" s="21" t="s">
        <v>25</v>
      </c>
      <c r="F30" s="24">
        <v>35195</v>
      </c>
      <c r="G30" s="28"/>
    </row>
    <row r="31" spans="1:7" x14ac:dyDescent="0.35">
      <c r="A31" s="3" t="s">
        <v>26</v>
      </c>
      <c r="B31" s="22"/>
      <c r="C31" s="15">
        <f>SUM(B28:B30)</f>
        <v>1311840</v>
      </c>
      <c r="D31" s="17"/>
      <c r="E31" s="18" t="s">
        <v>26</v>
      </c>
      <c r="F31" s="22"/>
      <c r="G31" s="15">
        <f>SUM(F28:F30)</f>
        <v>1366222.5</v>
      </c>
    </row>
    <row r="32" spans="1:7" x14ac:dyDescent="0.35">
      <c r="D32" s="17"/>
    </row>
    <row r="33" spans="1:7" x14ac:dyDescent="0.35">
      <c r="A33" s="3" t="s">
        <v>27</v>
      </c>
      <c r="D33" s="17"/>
      <c r="E33" s="18" t="s">
        <v>27</v>
      </c>
    </row>
    <row r="34" spans="1:7" x14ac:dyDescent="0.35">
      <c r="A34" s="5" t="s">
        <v>28</v>
      </c>
      <c r="B34" s="22">
        <v>746932</v>
      </c>
      <c r="C34" s="22"/>
      <c r="D34" s="17"/>
      <c r="E34" s="21" t="s">
        <v>29</v>
      </c>
      <c r="F34" s="24">
        <v>968410</v>
      </c>
      <c r="G34" s="22"/>
    </row>
    <row r="35" spans="1:7" x14ac:dyDescent="0.35">
      <c r="A35" s="3" t="s">
        <v>30</v>
      </c>
      <c r="C35" s="29">
        <f>SUM(B34)</f>
        <v>746932</v>
      </c>
      <c r="D35" s="17"/>
      <c r="E35" s="18" t="s">
        <v>30</v>
      </c>
      <c r="G35" s="29">
        <f>SUM(F34)</f>
        <v>968410</v>
      </c>
    </row>
    <row r="36" spans="1:7" x14ac:dyDescent="0.35">
      <c r="D36" s="17"/>
    </row>
    <row r="37" spans="1:7" x14ac:dyDescent="0.35">
      <c r="A37" s="4" t="s">
        <v>31</v>
      </c>
      <c r="C37" s="15">
        <f>SUM(C31,C35)</f>
        <v>2058772</v>
      </c>
      <c r="D37" s="25"/>
      <c r="E37" s="16" t="s">
        <v>31</v>
      </c>
      <c r="G37" s="15">
        <f>SUM(G31,G35)</f>
        <v>2334632.5</v>
      </c>
    </row>
    <row r="38" spans="1:7" x14ac:dyDescent="0.35">
      <c r="D38" s="25"/>
    </row>
    <row r="39" spans="1:7" x14ac:dyDescent="0.35">
      <c r="A39" s="3" t="s">
        <v>32</v>
      </c>
      <c r="D39" s="25"/>
      <c r="E39" s="18" t="s">
        <v>32</v>
      </c>
    </row>
    <row r="40" spans="1:7" x14ac:dyDescent="0.35">
      <c r="A40" s="5" t="s">
        <v>33</v>
      </c>
      <c r="B40" s="22">
        <v>800000</v>
      </c>
      <c r="D40" s="25"/>
      <c r="E40" s="21" t="s">
        <v>33</v>
      </c>
      <c r="F40" s="22">
        <v>800000</v>
      </c>
    </row>
    <row r="41" spans="1:7" x14ac:dyDescent="0.35">
      <c r="A41" s="5" t="s">
        <v>34</v>
      </c>
      <c r="B41" s="22">
        <v>-600000</v>
      </c>
      <c r="D41" s="25"/>
      <c r="E41" s="21" t="s">
        <v>34</v>
      </c>
      <c r="F41" s="22">
        <v>-600000</v>
      </c>
    </row>
    <row r="42" spans="1:7" x14ac:dyDescent="0.35">
      <c r="A42" s="5" t="s">
        <v>35</v>
      </c>
      <c r="B42" s="24">
        <v>540753</v>
      </c>
      <c r="D42" s="25"/>
      <c r="E42" s="21" t="s">
        <v>35</v>
      </c>
      <c r="F42" s="24">
        <f>'EDO. DE RESULTADOS'!D47</f>
        <v>934927.5</v>
      </c>
    </row>
    <row r="43" spans="1:7" x14ac:dyDescent="0.35">
      <c r="A43" s="3" t="s">
        <v>36</v>
      </c>
      <c r="C43" s="15">
        <f>SUM(B40:B42)</f>
        <v>740753</v>
      </c>
      <c r="D43" s="17"/>
      <c r="E43" s="18" t="s">
        <v>36</v>
      </c>
      <c r="G43" s="15">
        <f>SUM(F40:F42)</f>
        <v>1134927.5</v>
      </c>
    </row>
    <row r="44" spans="1:7" x14ac:dyDescent="0.35">
      <c r="D44" s="17"/>
    </row>
    <row r="45" spans="1:7" x14ac:dyDescent="0.35">
      <c r="A45" s="4" t="s">
        <v>37</v>
      </c>
      <c r="C45" s="30">
        <f>SUM(C37,C43)</f>
        <v>2799525</v>
      </c>
      <c r="D45" s="17"/>
      <c r="E45" s="16" t="s">
        <v>37</v>
      </c>
      <c r="G45" s="30">
        <f>SUM(G37,G43)</f>
        <v>3469560</v>
      </c>
    </row>
    <row r="48" spans="1:7" x14ac:dyDescent="0.35">
      <c r="B48" s="15" t="s">
        <v>38</v>
      </c>
      <c r="F48" s="15" t="s">
        <v>38</v>
      </c>
    </row>
    <row r="49" spans="2:7" x14ac:dyDescent="0.35">
      <c r="B49" s="15" t="s">
        <v>39</v>
      </c>
      <c r="C49" s="15">
        <f>C37+C43</f>
        <v>2799525</v>
      </c>
      <c r="F49" s="15" t="s">
        <v>39</v>
      </c>
      <c r="G49" s="15">
        <f>G37+G43</f>
        <v>3469560</v>
      </c>
    </row>
    <row r="50" spans="2:7" x14ac:dyDescent="0.35">
      <c r="B50" s="15" t="s">
        <v>40</v>
      </c>
      <c r="C50" s="15">
        <f>C24</f>
        <v>2799525</v>
      </c>
      <c r="F50" s="15" t="s">
        <v>40</v>
      </c>
      <c r="G50" s="15">
        <f>G24</f>
        <v>3469560</v>
      </c>
    </row>
    <row r="51" spans="2:7" x14ac:dyDescent="0.35">
      <c r="C51" s="15">
        <f>C50-C49</f>
        <v>0</v>
      </c>
      <c r="G51" s="15">
        <f>G50-G49</f>
        <v>0</v>
      </c>
    </row>
  </sheetData>
  <printOptions horizontalCentered="1"/>
  <pageMargins left="0.39374999999999999" right="0.39374999999999999" top="0.39374999999999999" bottom="0.39374999999999999" header="0.315278" footer="0.315278"/>
  <pageSetup scale="74" fitToWidth="0"/>
  <extLst>
    <ext uri="smNativeData">
      <pm:sheetPrefs xmlns:pm="smNativeData" day="1756407961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pageSetUpPr fitToPage="1"/>
  </sheetPr>
  <dimension ref="A1:E53"/>
  <sheetViews>
    <sheetView topLeftCell="A28" zoomScale="96" workbookViewId="0">
      <selection activeCell="D23" sqref="D23"/>
    </sheetView>
  </sheetViews>
  <sheetFormatPr defaultColWidth="11.453125" defaultRowHeight="15.5" x14ac:dyDescent="0.35"/>
  <cols>
    <col min="1" max="1" width="54.6328125" style="9" customWidth="1"/>
    <col min="2" max="4" width="21.6328125" style="31" customWidth="1"/>
    <col min="5" max="5" width="17.08984375" style="10" hidden="1" customWidth="1"/>
    <col min="6" max="16384" width="11.453125" style="9"/>
  </cols>
  <sheetData>
    <row r="1" spans="1:5" ht="17.5" x14ac:dyDescent="0.35">
      <c r="A1" s="50" t="s">
        <v>0</v>
      </c>
      <c r="B1" s="51"/>
      <c r="C1" s="51"/>
      <c r="D1" s="51"/>
    </row>
    <row r="2" spans="1:5" ht="17.5" x14ac:dyDescent="0.35">
      <c r="A2" s="50" t="s">
        <v>41</v>
      </c>
      <c r="B2" s="51"/>
      <c r="C2" s="51"/>
      <c r="D2" s="51"/>
    </row>
    <row r="3" spans="1:5" ht="17.5" x14ac:dyDescent="0.35">
      <c r="A3" s="50" t="s">
        <v>42</v>
      </c>
      <c r="B3" s="51"/>
      <c r="C3" s="51"/>
      <c r="D3" s="51"/>
    </row>
    <row r="4" spans="1:5" x14ac:dyDescent="0.35">
      <c r="A4" s="8"/>
      <c r="B4" s="32"/>
      <c r="C4" s="32"/>
      <c r="D4" s="32"/>
    </row>
    <row r="5" spans="1:5" x14ac:dyDescent="0.35">
      <c r="A5" s="8"/>
      <c r="B5" s="32"/>
      <c r="C5" s="32"/>
      <c r="D5" s="32"/>
    </row>
    <row r="6" spans="1:5" x14ac:dyDescent="0.35">
      <c r="B6" s="33" t="s">
        <v>6</v>
      </c>
      <c r="C6" s="33" t="s">
        <v>7</v>
      </c>
      <c r="D6" s="33" t="s">
        <v>43</v>
      </c>
      <c r="E6" s="11" t="s">
        <v>44</v>
      </c>
    </row>
    <row r="7" spans="1:5" ht="20.25" customHeight="1" x14ac:dyDescent="0.35">
      <c r="A7" s="12" t="s">
        <v>45</v>
      </c>
    </row>
    <row r="8" spans="1:5" ht="20.25" customHeight="1" x14ac:dyDescent="0.35">
      <c r="A8" s="12" t="s">
        <v>46</v>
      </c>
      <c r="D8" s="34">
        <f>C9+C10+C11</f>
        <v>6147500</v>
      </c>
      <c r="E8" s="13">
        <f>D8/$D$8</f>
        <v>1</v>
      </c>
    </row>
    <row r="9" spans="1:5" ht="20.25" customHeight="1" x14ac:dyDescent="0.35">
      <c r="A9" s="9" t="s">
        <v>47</v>
      </c>
      <c r="C9" s="31">
        <v>3425000</v>
      </c>
      <c r="E9" s="10">
        <f>C9/$D$8</f>
        <v>0.55713704758031724</v>
      </c>
    </row>
    <row r="10" spans="1:5" ht="20.25" customHeight="1" x14ac:dyDescent="0.35">
      <c r="A10" s="9" t="s">
        <v>48</v>
      </c>
      <c r="C10" s="31">
        <v>1987300</v>
      </c>
      <c r="E10" s="10">
        <f>C10/$D$8</f>
        <v>0.32326962179747865</v>
      </c>
    </row>
    <row r="11" spans="1:5" ht="20.25" customHeight="1" x14ac:dyDescent="0.35">
      <c r="A11" s="9" t="s">
        <v>49</v>
      </c>
      <c r="C11" s="35">
        <v>735200</v>
      </c>
      <c r="E11" s="10">
        <f>C11/$D$8</f>
        <v>0.11959333062220415</v>
      </c>
    </row>
    <row r="12" spans="1:5" ht="20.25" customHeight="1" x14ac:dyDescent="0.35">
      <c r="E12" s="13"/>
    </row>
    <row r="13" spans="1:5" ht="20.25" customHeight="1" x14ac:dyDescent="0.35">
      <c r="A13" s="12" t="s">
        <v>50</v>
      </c>
      <c r="E13" s="13"/>
    </row>
    <row r="14" spans="1:5" ht="20.25" customHeight="1" x14ac:dyDescent="0.35">
      <c r="A14" s="9" t="s">
        <v>51</v>
      </c>
      <c r="C14" s="31">
        <v>2050300</v>
      </c>
      <c r="E14" s="10">
        <f>C14/$D$8</f>
        <v>0.33351769011793414</v>
      </c>
    </row>
    <row r="15" spans="1:5" ht="20.25" customHeight="1" x14ac:dyDescent="0.35">
      <c r="A15" s="9" t="s">
        <v>52</v>
      </c>
      <c r="B15" s="31">
        <v>4675000</v>
      </c>
      <c r="E15" s="13">
        <f>B15/$D$8</f>
        <v>0.76047173647824318</v>
      </c>
    </row>
    <row r="16" spans="1:5" ht="20.25" customHeight="1" x14ac:dyDescent="0.35">
      <c r="A16" s="9" t="s">
        <v>53</v>
      </c>
      <c r="B16" s="35">
        <v>48300</v>
      </c>
      <c r="E16" s="13">
        <f>B16/$D$8</f>
        <v>7.8568523790158596E-3</v>
      </c>
    </row>
    <row r="17" spans="1:5" ht="20.25" customHeight="1" x14ac:dyDescent="0.35">
      <c r="A17" s="12" t="s">
        <v>54</v>
      </c>
      <c r="B17" s="34">
        <f>B15+B16</f>
        <v>4723300</v>
      </c>
      <c r="E17" s="13">
        <f>B17/$D$8</f>
        <v>0.76832858885725908</v>
      </c>
    </row>
    <row r="18" spans="1:5" ht="20.25" customHeight="1" x14ac:dyDescent="0.35">
      <c r="A18" s="9" t="s">
        <v>55</v>
      </c>
      <c r="B18" s="35">
        <v>75800</v>
      </c>
      <c r="E18" s="13">
        <f>B18/$D$8</f>
        <v>1.2330215534770232E-2</v>
      </c>
    </row>
    <row r="19" spans="1:5" ht="20.25" customHeight="1" x14ac:dyDescent="0.35">
      <c r="A19" s="12" t="s">
        <v>56</v>
      </c>
      <c r="C19" s="36">
        <f>B17-B18</f>
        <v>4647500</v>
      </c>
      <c r="E19" s="13">
        <f>C19/$D$8</f>
        <v>0.75599837332248887</v>
      </c>
    </row>
    <row r="20" spans="1:5" ht="20.25" customHeight="1" x14ac:dyDescent="0.35">
      <c r="A20" s="14" t="s">
        <v>57</v>
      </c>
      <c r="C20" s="31">
        <f>C14+C19</f>
        <v>6697800</v>
      </c>
      <c r="E20" s="13">
        <f>C20/$D$8</f>
        <v>1.0895160634404228</v>
      </c>
    </row>
    <row r="21" spans="1:5" ht="20.25" customHeight="1" x14ac:dyDescent="0.35">
      <c r="A21" s="9" t="s">
        <v>58</v>
      </c>
      <c r="C21" s="35">
        <v>-2248600</v>
      </c>
      <c r="E21" s="13">
        <f>C21/$D$8</f>
        <v>-0.36577470516470112</v>
      </c>
    </row>
    <row r="22" spans="1:5" ht="20.25" customHeight="1" x14ac:dyDescent="0.35">
      <c r="A22" s="12" t="s">
        <v>59</v>
      </c>
      <c r="D22" s="36">
        <f>C20+C21</f>
        <v>4449200</v>
      </c>
      <c r="E22" s="13">
        <f>D22/$D$8</f>
        <v>0.72374135827572184</v>
      </c>
    </row>
    <row r="23" spans="1:5" ht="20.25" customHeight="1" x14ac:dyDescent="0.35">
      <c r="A23" s="12" t="s">
        <v>60</v>
      </c>
      <c r="D23" s="34">
        <f>D8-D22</f>
        <v>1698300</v>
      </c>
      <c r="E23" s="13">
        <f>D23/$D$8</f>
        <v>0.27625864172427816</v>
      </c>
    </row>
    <row r="24" spans="1:5" ht="20.25" customHeight="1" x14ac:dyDescent="0.35">
      <c r="E24" s="13"/>
    </row>
    <row r="25" spans="1:5" ht="20.25" customHeight="1" x14ac:dyDescent="0.35">
      <c r="A25" s="12" t="s">
        <v>61</v>
      </c>
      <c r="E25" s="13"/>
    </row>
    <row r="26" spans="1:5" ht="20.25" customHeight="1" x14ac:dyDescent="0.35">
      <c r="A26" s="12" t="s">
        <v>62</v>
      </c>
      <c r="E26" s="13"/>
    </row>
    <row r="27" spans="1:5" ht="20.25" customHeight="1" x14ac:dyDescent="0.35">
      <c r="A27" s="9" t="s">
        <v>63</v>
      </c>
      <c r="C27" s="31">
        <v>4500</v>
      </c>
      <c r="E27" s="13">
        <f t="shared" ref="E27:E37" si="0">C27/$D$8</f>
        <v>7.3200488003253357E-4</v>
      </c>
    </row>
    <row r="28" spans="1:5" ht="20.25" customHeight="1" x14ac:dyDescent="0.35">
      <c r="A28" s="9" t="s">
        <v>64</v>
      </c>
      <c r="C28" s="31">
        <f>3500*12</f>
        <v>42000</v>
      </c>
      <c r="E28" s="13">
        <f t="shared" si="0"/>
        <v>6.8320455469703129E-3</v>
      </c>
    </row>
    <row r="29" spans="1:5" ht="20.25" customHeight="1" x14ac:dyDescent="0.35">
      <c r="A29" s="9" t="s">
        <v>65</v>
      </c>
      <c r="C29" s="31">
        <f>475*12</f>
        <v>5700</v>
      </c>
      <c r="E29" s="13">
        <f t="shared" si="0"/>
        <v>9.2720618137454253E-4</v>
      </c>
    </row>
    <row r="30" spans="1:5" ht="20.25" customHeight="1" x14ac:dyDescent="0.35">
      <c r="A30" s="9" t="s">
        <v>66</v>
      </c>
      <c r="C30" s="31">
        <f>425*12</f>
        <v>5100</v>
      </c>
      <c r="E30" s="13">
        <f t="shared" si="0"/>
        <v>8.2960553070353805E-4</v>
      </c>
    </row>
    <row r="31" spans="1:5" ht="20.25" customHeight="1" x14ac:dyDescent="0.35">
      <c r="A31" s="9" t="s">
        <v>67</v>
      </c>
      <c r="C31" s="31">
        <f>4000*6*12</f>
        <v>288000</v>
      </c>
      <c r="E31" s="13">
        <f t="shared" si="0"/>
        <v>4.6848312322082149E-2</v>
      </c>
    </row>
    <row r="32" spans="1:5" ht="20.25" customHeight="1" x14ac:dyDescent="0.35">
      <c r="A32" s="9" t="s">
        <v>68</v>
      </c>
      <c r="C32" s="31">
        <f>250*6*12</f>
        <v>18000</v>
      </c>
      <c r="E32" s="13">
        <f t="shared" si="0"/>
        <v>2.9280195201301343E-3</v>
      </c>
    </row>
    <row r="33" spans="1:5" ht="20.25" customHeight="1" x14ac:dyDescent="0.35">
      <c r="A33" s="9" t="s">
        <v>69</v>
      </c>
      <c r="C33" s="31">
        <f>4000*6</f>
        <v>24000</v>
      </c>
      <c r="E33" s="13">
        <f t="shared" si="0"/>
        <v>3.9040260268401791E-3</v>
      </c>
    </row>
    <row r="34" spans="1:5" ht="20.25" customHeight="1" x14ac:dyDescent="0.35">
      <c r="A34" s="9" t="s">
        <v>70</v>
      </c>
      <c r="C34" s="31">
        <f>4000*6</f>
        <v>24000</v>
      </c>
      <c r="E34" s="13">
        <f t="shared" si="0"/>
        <v>3.9040260268401791E-3</v>
      </c>
    </row>
    <row r="35" spans="1:5" ht="20.25" customHeight="1" x14ac:dyDescent="0.35">
      <c r="A35" s="9" t="s">
        <v>71</v>
      </c>
      <c r="C35" s="31">
        <v>10360</v>
      </c>
      <c r="E35" s="13">
        <f t="shared" si="0"/>
        <v>1.6852379015860105E-3</v>
      </c>
    </row>
    <row r="36" spans="1:5" ht="20.25" customHeight="1" x14ac:dyDescent="0.35">
      <c r="A36" s="9" t="s">
        <v>72</v>
      </c>
      <c r="C36" s="31">
        <v>8750</v>
      </c>
      <c r="E36" s="13">
        <f t="shared" si="0"/>
        <v>1.4233428222854819E-3</v>
      </c>
    </row>
    <row r="37" spans="1:5" ht="20.25" customHeight="1" x14ac:dyDescent="0.35">
      <c r="A37" s="9" t="s">
        <v>73</v>
      </c>
      <c r="C37" s="35">
        <v>21860</v>
      </c>
      <c r="E37" s="13">
        <f t="shared" si="0"/>
        <v>3.5559170394469297E-3</v>
      </c>
    </row>
    <row r="38" spans="1:5" ht="20.25" customHeight="1" x14ac:dyDescent="0.35">
      <c r="D38" s="31">
        <f>SUM(C27:C37)</f>
        <v>452270</v>
      </c>
      <c r="E38" s="13">
        <f>D38/$D$8</f>
        <v>7.3569743798291995E-2</v>
      </c>
    </row>
    <row r="39" spans="1:5" ht="20.25" customHeight="1" x14ac:dyDescent="0.35">
      <c r="A39" s="12" t="s">
        <v>74</v>
      </c>
      <c r="E39" s="13"/>
    </row>
    <row r="40" spans="1:5" ht="20.25" customHeight="1" x14ac:dyDescent="0.35">
      <c r="A40" s="9" t="s">
        <v>75</v>
      </c>
      <c r="C40" s="31">
        <v>2585</v>
      </c>
      <c r="E40" s="13">
        <f>C40/$D$8</f>
        <v>4.2049613664091095E-4</v>
      </c>
    </row>
    <row r="41" spans="1:5" ht="20.25" customHeight="1" x14ac:dyDescent="0.35">
      <c r="A41" s="9" t="s">
        <v>76</v>
      </c>
      <c r="C41" s="35">
        <v>-3125</v>
      </c>
      <c r="E41" s="13"/>
    </row>
    <row r="42" spans="1:5" ht="20.25" customHeight="1" x14ac:dyDescent="0.35">
      <c r="D42" s="35">
        <f>SUM(C40:C41)</f>
        <v>-540</v>
      </c>
      <c r="E42" s="13">
        <f>D42/$D$8</f>
        <v>-8.7840585603904032E-5</v>
      </c>
    </row>
    <row r="43" spans="1:5" ht="20.25" customHeight="1" x14ac:dyDescent="0.35">
      <c r="E43" s="13">
        <f>D43/$D$8</f>
        <v>0</v>
      </c>
    </row>
    <row r="44" spans="1:5" ht="20.25" customHeight="1" x14ac:dyDescent="0.35">
      <c r="A44" s="12" t="s">
        <v>77</v>
      </c>
      <c r="B44" s="34"/>
      <c r="C44" s="34"/>
      <c r="D44" s="36">
        <f>D38+D42+D43</f>
        <v>451730</v>
      </c>
      <c r="E44" s="13">
        <f>D44/$D$8</f>
        <v>7.3481903212688091E-2</v>
      </c>
    </row>
    <row r="45" spans="1:5" ht="20.25" customHeight="1" x14ac:dyDescent="0.35">
      <c r="A45" s="12" t="s">
        <v>78</v>
      </c>
      <c r="D45" s="34">
        <f>D23-D44</f>
        <v>1246570</v>
      </c>
      <c r="E45" s="13">
        <f>D45/$D$8</f>
        <v>0.20277673851159009</v>
      </c>
    </row>
    <row r="46" spans="1:5" ht="20.25" customHeight="1" x14ac:dyDescent="0.35">
      <c r="A46" s="9" t="s">
        <v>79</v>
      </c>
      <c r="D46" s="35">
        <f>D45*25%</f>
        <v>311642.5</v>
      </c>
      <c r="E46" s="13" t="e">
        <f>#REF!/$D$8</f>
        <v>#REF!</v>
      </c>
    </row>
    <row r="47" spans="1:5" ht="20.25" customHeight="1" x14ac:dyDescent="0.35">
      <c r="A47" s="12" t="s">
        <v>80</v>
      </c>
      <c r="D47" s="37">
        <f>D45-D46</f>
        <v>934927.5</v>
      </c>
      <c r="E47" s="13" t="e">
        <f>#REF!/$D$8</f>
        <v>#REF!</v>
      </c>
    </row>
    <row r="48" spans="1:5" ht="20.25" customHeight="1" x14ac:dyDescent="0.35">
      <c r="E48" s="13" t="e">
        <f>#REF!/$D$8</f>
        <v>#REF!</v>
      </c>
    </row>
    <row r="49" spans="1:5" ht="20.25" customHeight="1" x14ac:dyDescent="0.35">
      <c r="E49" s="13" t="e">
        <f>#REF!/$D$8</f>
        <v>#REF!</v>
      </c>
    </row>
    <row r="51" spans="1:5" x14ac:dyDescent="0.35">
      <c r="A51" s="38" t="s">
        <v>81</v>
      </c>
    </row>
    <row r="52" spans="1:5" x14ac:dyDescent="0.35">
      <c r="A52" s="9" t="s">
        <v>82</v>
      </c>
      <c r="B52" s="31">
        <f>D47</f>
        <v>934927.5</v>
      </c>
      <c r="C52" s="31">
        <f>'BALANCES GENERALES'!F42</f>
        <v>934927.5</v>
      </c>
    </row>
    <row r="53" spans="1:5" x14ac:dyDescent="0.35">
      <c r="A53" s="9" t="s">
        <v>83</v>
      </c>
      <c r="B53" s="31">
        <f>ABS(C21)</f>
        <v>2248600</v>
      </c>
      <c r="C53" s="31">
        <f>'BALANCES GENERALES'!F11</f>
        <v>2248600</v>
      </c>
    </row>
  </sheetData>
  <mergeCells count="3">
    <mergeCell ref="A1:D1"/>
    <mergeCell ref="A2:D2"/>
    <mergeCell ref="A3:D3"/>
  </mergeCells>
  <printOptions horizontalCentered="1"/>
  <pageMargins left="0.39374999999999999" right="0.39374999999999999" top="0.39374999999999999" bottom="0.39374999999999999" header="0.315278" footer="0.315278"/>
  <pageSetup scale="74" fitToWidth="0"/>
  <extLst>
    <ext uri="smNativeData">
      <pm:sheetPrefs xmlns:pm="smNativeData" day="1756407961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0"/>
  <sheetViews>
    <sheetView tabSelected="1" topLeftCell="D1" zoomScale="116" workbookViewId="0">
      <selection activeCell="D30" sqref="B30:D30"/>
    </sheetView>
  </sheetViews>
  <sheetFormatPr defaultColWidth="10" defaultRowHeight="14.5" x14ac:dyDescent="0.35"/>
  <cols>
    <col min="1" max="1" width="37.36328125" customWidth="1"/>
    <col min="2" max="2" width="18.1796875" customWidth="1"/>
    <col min="3" max="3" width="17.36328125" customWidth="1"/>
    <col min="4" max="4" width="14.7265625" customWidth="1"/>
    <col min="5" max="5" width="15.26953125" style="40" customWidth="1"/>
    <col min="6" max="6" width="14.36328125" style="40" customWidth="1"/>
    <col min="7" max="7" width="16.6328125" style="40" customWidth="1"/>
    <col min="8" max="8" width="20.36328125" style="40" customWidth="1"/>
    <col min="9" max="9" width="16.54296875" style="40" customWidth="1"/>
    <col min="10" max="10" width="55.54296875" style="47" customWidth="1"/>
    <col min="11" max="11" width="7.6328125" customWidth="1"/>
  </cols>
  <sheetData>
    <row r="1" spans="1:10" x14ac:dyDescent="0.35">
      <c r="A1" s="53" t="s">
        <v>84</v>
      </c>
      <c r="B1" s="53">
        <v>2023</v>
      </c>
      <c r="C1" s="53">
        <v>2024</v>
      </c>
      <c r="D1" s="53" t="s">
        <v>85</v>
      </c>
      <c r="E1" s="52" t="s">
        <v>86</v>
      </c>
      <c r="F1" s="52"/>
      <c r="G1" s="52" t="s">
        <v>87</v>
      </c>
      <c r="H1" s="52" t="s">
        <v>88</v>
      </c>
      <c r="I1" s="52" t="s">
        <v>89</v>
      </c>
      <c r="J1" s="53" t="s">
        <v>90</v>
      </c>
    </row>
    <row r="2" spans="1:10" x14ac:dyDescent="0.35">
      <c r="A2" s="53"/>
      <c r="B2" s="53"/>
      <c r="C2" s="53"/>
      <c r="D2" s="53"/>
      <c r="E2" s="42" t="s">
        <v>5</v>
      </c>
      <c r="F2" s="42" t="s">
        <v>22</v>
      </c>
      <c r="G2" s="52"/>
      <c r="H2" s="52"/>
      <c r="I2" s="52"/>
      <c r="J2" s="53"/>
    </row>
    <row r="3" spans="1:10" x14ac:dyDescent="0.35">
      <c r="A3" s="39" t="str">
        <f>'BALANCES GENERALES'!E6</f>
        <v>ACTIVO</v>
      </c>
    </row>
    <row r="4" spans="1:10" x14ac:dyDescent="0.35">
      <c r="A4" s="39" t="str">
        <f>'BALANCES GENERALES'!E7</f>
        <v>Corriente</v>
      </c>
    </row>
    <row r="5" spans="1:10" x14ac:dyDescent="0.35">
      <c r="A5" t="s">
        <v>123</v>
      </c>
      <c r="B5" s="40">
        <f>SUM('BALANCES GENERALES'!B8:B10)</f>
        <v>589730</v>
      </c>
      <c r="C5" s="40">
        <f>SUM('BALANCES GENERALES'!F8:F10)</f>
        <v>1044030</v>
      </c>
      <c r="D5" s="40">
        <f>C5-B5</f>
        <v>454300</v>
      </c>
      <c r="E5"/>
      <c r="I5" s="40">
        <f>D5</f>
        <v>454300</v>
      </c>
      <c r="J5" s="54" t="s">
        <v>91</v>
      </c>
    </row>
    <row r="6" spans="1:10" x14ac:dyDescent="0.35">
      <c r="B6" s="40"/>
      <c r="C6" s="40"/>
      <c r="D6" s="40"/>
      <c r="E6"/>
      <c r="I6" s="40">
        <f>D6</f>
        <v>0</v>
      </c>
      <c r="J6" s="54"/>
    </row>
    <row r="7" spans="1:10" x14ac:dyDescent="0.35">
      <c r="B7" s="40"/>
      <c r="C7" s="40"/>
      <c r="D7" s="40"/>
      <c r="E7"/>
      <c r="I7" s="40">
        <f>D7</f>
        <v>0</v>
      </c>
      <c r="J7" s="54"/>
    </row>
    <row r="8" spans="1:10" x14ac:dyDescent="0.35">
      <c r="A8" s="48" t="str">
        <f>'BALANCES GENERALES'!E11</f>
        <v>Inventario de mercaderías</v>
      </c>
      <c r="B8" s="40">
        <f>'BALANCES GENERALES'!B11</f>
        <v>2050300</v>
      </c>
      <c r="C8" s="40">
        <f>'BALANCES GENERALES'!F11</f>
        <v>2248600</v>
      </c>
      <c r="D8" s="40">
        <f>C8-B8</f>
        <v>198300</v>
      </c>
      <c r="E8" s="40">
        <f>-D8</f>
        <v>-198300</v>
      </c>
      <c r="J8" s="47" t="s">
        <v>92</v>
      </c>
    </row>
    <row r="9" spans="1:10" ht="29" x14ac:dyDescent="0.35">
      <c r="A9" s="48" t="str">
        <f>'BALANCES GENERALES'!E12</f>
        <v>Cuentas por cobrar</v>
      </c>
      <c r="B9" s="40">
        <f>'BALANCES GENERALES'!B12</f>
        <v>2870</v>
      </c>
      <c r="C9" s="40">
        <f>'BALANCES GENERALES'!F12</f>
        <v>25825</v>
      </c>
      <c r="D9" s="40">
        <f>C9-B9</f>
        <v>22955</v>
      </c>
      <c r="E9" s="40">
        <f>-D9</f>
        <v>-22955</v>
      </c>
      <c r="J9" s="47" t="s">
        <v>93</v>
      </c>
    </row>
    <row r="10" spans="1:10" x14ac:dyDescent="0.35">
      <c r="A10" s="39" t="str">
        <f>'BALANCES GENERALES'!E15</f>
        <v>No Corriente</v>
      </c>
      <c r="D10" s="40"/>
    </row>
    <row r="11" spans="1:10" x14ac:dyDescent="0.35">
      <c r="A11" s="48" t="str">
        <f>'BALANCES GENERALES'!E16</f>
        <v>Mobiliario y equipo</v>
      </c>
      <c r="B11" s="40">
        <f>'BALANCES GENERALES'!B16</f>
        <v>48300</v>
      </c>
      <c r="C11" s="40">
        <f>'BALANCES GENERALES'!F16</f>
        <v>58750</v>
      </c>
      <c r="D11" s="40">
        <f t="shared" ref="D11:D16" si="0">C11-B11</f>
        <v>10450</v>
      </c>
      <c r="G11" s="40">
        <f>-D11</f>
        <v>-10450</v>
      </c>
    </row>
    <row r="12" spans="1:10" x14ac:dyDescent="0.35">
      <c r="A12" s="48" t="s">
        <v>94</v>
      </c>
      <c r="B12" s="40">
        <f>ABS('BALANCES GENERALES'!B17)</f>
        <v>19050</v>
      </c>
      <c r="C12" s="40">
        <f>ABS('BALANCES GENERALES'!F17)</f>
        <v>29410</v>
      </c>
      <c r="D12" s="40">
        <f t="shared" si="0"/>
        <v>10360</v>
      </c>
      <c r="F12" s="40">
        <f>D12</f>
        <v>10360</v>
      </c>
      <c r="J12" s="49" t="s">
        <v>95</v>
      </c>
    </row>
    <row r="13" spans="1:10" x14ac:dyDescent="0.35">
      <c r="A13" s="48" t="str">
        <f>'BALANCES GENERALES'!E18</f>
        <v>Equipo de computación</v>
      </c>
      <c r="B13" s="40">
        <f>'BALANCES GENERALES'!B18</f>
        <v>35450</v>
      </c>
      <c r="C13" s="40">
        <f>'BALANCES GENERALES'!F18</f>
        <v>35450</v>
      </c>
      <c r="D13" s="40">
        <f t="shared" si="0"/>
        <v>0</v>
      </c>
    </row>
    <row r="14" spans="1:10" x14ac:dyDescent="0.35">
      <c r="A14" s="48" t="s">
        <v>96</v>
      </c>
      <c r="B14" s="40">
        <f>ABS('BALANCES GENERALES'!B19)</f>
        <v>7975</v>
      </c>
      <c r="C14" s="40">
        <f>ABS('BALANCES GENERALES'!F19)</f>
        <v>16725</v>
      </c>
      <c r="D14" s="40">
        <f t="shared" si="0"/>
        <v>8750</v>
      </c>
      <c r="F14" s="40">
        <f>D14</f>
        <v>8750</v>
      </c>
      <c r="J14" s="49" t="str">
        <f>J12</f>
        <v>no cuenta como movimiento de dinero</v>
      </c>
    </row>
    <row r="15" spans="1:10" x14ac:dyDescent="0.35">
      <c r="A15" s="48" t="str">
        <f>'BALANCES GENERALES'!E20</f>
        <v>Vehículos</v>
      </c>
      <c r="B15" s="40">
        <f>'BALANCES GENERALES'!B20</f>
        <v>125900</v>
      </c>
      <c r="C15" s="40">
        <f>'BALANCES GENERALES'!F20</f>
        <v>150900</v>
      </c>
      <c r="D15" s="40">
        <f t="shared" si="0"/>
        <v>25000</v>
      </c>
      <c r="G15" s="40">
        <f>-D15</f>
        <v>-25000</v>
      </c>
    </row>
    <row r="16" spans="1:10" x14ac:dyDescent="0.35">
      <c r="A16" s="48" t="s">
        <v>97</v>
      </c>
      <c r="B16" s="40">
        <f>ABS('BALANCES GENERALES'!B21)</f>
        <v>26000</v>
      </c>
      <c r="C16" s="40">
        <f>ABS('BALANCES GENERALES'!F21)</f>
        <v>47860</v>
      </c>
      <c r="D16" s="40">
        <f t="shared" si="0"/>
        <v>21860</v>
      </c>
      <c r="F16" s="40">
        <f>D16</f>
        <v>21860</v>
      </c>
      <c r="J16" s="49" t="str">
        <f>J14</f>
        <v>no cuenta como movimiento de dinero</v>
      </c>
    </row>
    <row r="17" spans="1:10" x14ac:dyDescent="0.35">
      <c r="A17" s="39" t="str">
        <f>'BALANCES GENERALES'!E26</f>
        <v>PASIVO</v>
      </c>
      <c r="D17" s="40"/>
    </row>
    <row r="18" spans="1:10" x14ac:dyDescent="0.35">
      <c r="A18" s="39" t="str">
        <f>'BALANCES GENERALES'!E27</f>
        <v>Corriente</v>
      </c>
      <c r="D18" s="40"/>
    </row>
    <row r="19" spans="1:10" x14ac:dyDescent="0.35">
      <c r="A19" s="48" t="str">
        <f>'BALANCES GENERALES'!E28</f>
        <v>Proveedores</v>
      </c>
      <c r="B19" s="40">
        <f>'BALANCES GENERALES'!B28</f>
        <v>1278565</v>
      </c>
      <c r="C19" s="40">
        <f>'BALANCES GENERALES'!F28</f>
        <v>1302602.5</v>
      </c>
      <c r="D19" s="40">
        <f>C19-B19</f>
        <v>24037.5</v>
      </c>
      <c r="F19" s="40">
        <f>D19</f>
        <v>24037.5</v>
      </c>
    </row>
    <row r="20" spans="1:10" x14ac:dyDescent="0.35">
      <c r="A20" s="48" t="str">
        <f>'BALANCES GENERALES'!E29</f>
        <v>Documentos por pagar</v>
      </c>
      <c r="B20" s="40">
        <f>'BALANCES GENERALES'!B29</f>
        <v>13150</v>
      </c>
      <c r="C20" s="40">
        <f>'BALANCES GENERALES'!F29</f>
        <v>28425</v>
      </c>
      <c r="D20" s="40">
        <f>C20-B20</f>
        <v>15275</v>
      </c>
      <c r="F20" s="40">
        <f>D20</f>
        <v>15275</v>
      </c>
    </row>
    <row r="21" spans="1:10" x14ac:dyDescent="0.35">
      <c r="A21" s="48" t="str">
        <f>'BALANCES GENERALES'!E30</f>
        <v>Cuentas por pagar</v>
      </c>
      <c r="B21" s="40">
        <f>'BALANCES GENERALES'!B30</f>
        <v>20125</v>
      </c>
      <c r="C21" s="40">
        <f>'BALANCES GENERALES'!F30</f>
        <v>35195</v>
      </c>
      <c r="D21" s="40">
        <f>C21-B21</f>
        <v>15070</v>
      </c>
      <c r="F21" s="40">
        <f>D21</f>
        <v>15070</v>
      </c>
    </row>
    <row r="22" spans="1:10" x14ac:dyDescent="0.35">
      <c r="A22" s="39" t="str">
        <f>'BALANCES GENERALES'!E33</f>
        <v>No corriente</v>
      </c>
      <c r="D22" s="40"/>
    </row>
    <row r="23" spans="1:10" x14ac:dyDescent="0.35">
      <c r="A23" s="48" t="str">
        <f>'BALANCES GENERALES'!E34</f>
        <v>Préstamo banco M &amp; T</v>
      </c>
      <c r="B23">
        <v>0</v>
      </c>
      <c r="C23" s="40">
        <f>'BALANCES GENERALES'!F34</f>
        <v>968410</v>
      </c>
      <c r="D23" s="40">
        <f>C23-B23</f>
        <v>968410</v>
      </c>
      <c r="F23"/>
      <c r="H23" s="40">
        <f>D23</f>
        <v>968410</v>
      </c>
      <c r="J23" s="55"/>
    </row>
    <row r="24" spans="1:10" x14ac:dyDescent="0.35">
      <c r="A24" s="48" t="str">
        <f>'BALANCES GENERALES'!A34</f>
        <v>Préstamo banco X</v>
      </c>
      <c r="B24" s="40">
        <f>'BALANCES GENERALES'!B34</f>
        <v>746932</v>
      </c>
      <c r="C24">
        <v>0</v>
      </c>
      <c r="D24" s="40">
        <f>C24-B24</f>
        <v>-746932</v>
      </c>
      <c r="F24"/>
      <c r="H24" s="40">
        <f>D24</f>
        <v>-746932</v>
      </c>
    </row>
    <row r="25" spans="1:10" x14ac:dyDescent="0.35">
      <c r="A25" s="39" t="str">
        <f>'BALANCES GENERALES'!A39</f>
        <v>CAPITAL</v>
      </c>
      <c r="D25" s="40"/>
    </row>
    <row r="26" spans="1:10" x14ac:dyDescent="0.35">
      <c r="A26" s="48" t="str">
        <f>'BALANCES GENERALES'!E40</f>
        <v>Capital autorizado</v>
      </c>
      <c r="B26" s="40">
        <f>'BALANCES GENERALES'!B40</f>
        <v>800000</v>
      </c>
      <c r="C26" s="40">
        <f>'BALANCES GENERALES'!F40</f>
        <v>800000</v>
      </c>
      <c r="D26" s="40">
        <f>C26-B26</f>
        <v>0</v>
      </c>
    </row>
    <row r="27" spans="1:10" x14ac:dyDescent="0.35">
      <c r="A27" s="48" t="str">
        <f>'BALANCES GENERALES'!E41</f>
        <v>Acciones por suscribir</v>
      </c>
      <c r="B27" s="40">
        <f>'BALANCES GENERALES'!B41</f>
        <v>-600000</v>
      </c>
      <c r="C27" s="40">
        <f>'BALANCES GENERALES'!F41</f>
        <v>-600000</v>
      </c>
      <c r="D27" s="40">
        <f>C27-B27</f>
        <v>0</v>
      </c>
    </row>
    <row r="28" spans="1:10" x14ac:dyDescent="0.35">
      <c r="A28" s="48" t="str">
        <f>'BALANCES GENERALES'!E42</f>
        <v>Utilidad del ejercicio</v>
      </c>
      <c r="B28" s="40">
        <f>'BALANCES GENERALES'!B42</f>
        <v>540753</v>
      </c>
      <c r="C28" s="40">
        <f>'BALANCES GENERALES'!F42</f>
        <v>934927.5</v>
      </c>
      <c r="D28" s="40">
        <f>C28-B28</f>
        <v>394174.5</v>
      </c>
      <c r="F28" s="40">
        <f>D28</f>
        <v>394174.5</v>
      </c>
      <c r="J28" s="49" t="str">
        <f>J16</f>
        <v>no cuenta como movimiento de dinero</v>
      </c>
    </row>
    <row r="30" spans="1:10" x14ac:dyDescent="0.35">
      <c r="A30" s="56" t="s">
        <v>124</v>
      </c>
      <c r="B30" s="40"/>
      <c r="C30" s="40"/>
      <c r="D30" s="40"/>
    </row>
  </sheetData>
  <mergeCells count="10">
    <mergeCell ref="G1:G2"/>
    <mergeCell ref="H1:H2"/>
    <mergeCell ref="I1:I2"/>
    <mergeCell ref="J1:J2"/>
    <mergeCell ref="J5:J7"/>
    <mergeCell ref="E1:F1"/>
    <mergeCell ref="A1:A2"/>
    <mergeCell ref="B1:B2"/>
    <mergeCell ref="C1:C2"/>
    <mergeCell ref="D1:D2"/>
  </mergeCells>
  <pageMargins left="1" right="1" top="1" bottom="1" header="0.39374999999999999" footer="0.39374999999999999"/>
  <pageSetup fitToWidth="0" pageOrder="overThenDown"/>
  <extLst>
    <ext uri="smNativeData">
      <pm:sheetPrefs xmlns:pm="smNativeData" day="1756407961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2"/>
  <sheetViews>
    <sheetView topLeftCell="A20" zoomScale="190" workbookViewId="0">
      <selection activeCell="F27" sqref="F27"/>
    </sheetView>
  </sheetViews>
  <sheetFormatPr defaultColWidth="10" defaultRowHeight="14.5" x14ac:dyDescent="0.35"/>
  <cols>
    <col min="1" max="1" width="50.6328125" customWidth="1"/>
    <col min="2" max="2" width="14.36328125" customWidth="1"/>
    <col min="3" max="3" width="15.26953125" customWidth="1"/>
  </cols>
  <sheetData>
    <row r="1" spans="1:3" x14ac:dyDescent="0.35">
      <c r="A1" s="3" t="s">
        <v>98</v>
      </c>
    </row>
    <row r="2" spans="1:3" x14ac:dyDescent="0.35">
      <c r="A2" s="3" t="s">
        <v>99</v>
      </c>
    </row>
    <row r="3" spans="1:3" x14ac:dyDescent="0.35">
      <c r="A3" s="43" t="s">
        <v>3</v>
      </c>
    </row>
    <row r="4" spans="1:3" x14ac:dyDescent="0.35">
      <c r="A4" s="3" t="s">
        <v>100</v>
      </c>
    </row>
    <row r="6" spans="1:3" x14ac:dyDescent="0.35">
      <c r="B6" s="44" t="s">
        <v>6</v>
      </c>
      <c r="C6" s="44" t="s">
        <v>7</v>
      </c>
    </row>
    <row r="7" spans="1:3" x14ac:dyDescent="0.35">
      <c r="A7" s="39" t="s">
        <v>101</v>
      </c>
      <c r="B7" s="40"/>
      <c r="C7" s="40"/>
    </row>
    <row r="8" spans="1:3" x14ac:dyDescent="0.35">
      <c r="A8" t="s">
        <v>35</v>
      </c>
      <c r="B8" s="40"/>
      <c r="C8" s="40">
        <f>'CLASIFICACIÓN CUENTAS'!C28</f>
        <v>934927.5</v>
      </c>
    </row>
    <row r="9" spans="1:3" x14ac:dyDescent="0.35">
      <c r="A9" t="s">
        <v>102</v>
      </c>
      <c r="B9" s="40"/>
      <c r="C9" s="40">
        <f>'CLASIFICACIÓN CUENTAS'!F12</f>
        <v>10360</v>
      </c>
    </row>
    <row r="10" spans="1:3" x14ac:dyDescent="0.35">
      <c r="A10" t="s">
        <v>103</v>
      </c>
      <c r="B10" s="40"/>
      <c r="C10" s="40">
        <f>'CLASIFICACIÓN CUENTAS'!F14</f>
        <v>8750</v>
      </c>
    </row>
    <row r="11" spans="1:3" x14ac:dyDescent="0.35">
      <c r="A11" t="s">
        <v>104</v>
      </c>
      <c r="B11" s="40"/>
      <c r="C11" s="45">
        <f>'CLASIFICACIÓN CUENTAS'!F16</f>
        <v>21860</v>
      </c>
    </row>
    <row r="12" spans="1:3" x14ac:dyDescent="0.35">
      <c r="A12" s="39" t="s">
        <v>105</v>
      </c>
      <c r="B12" s="40"/>
      <c r="C12" s="46">
        <f>SUM(C8:C11)</f>
        <v>975897.5</v>
      </c>
    </row>
    <row r="13" spans="1:3" x14ac:dyDescent="0.35">
      <c r="A13" s="39" t="s">
        <v>106</v>
      </c>
      <c r="B13" s="40"/>
      <c r="C13" s="40"/>
    </row>
    <row r="14" spans="1:3" x14ac:dyDescent="0.35">
      <c r="A14" t="s">
        <v>107</v>
      </c>
      <c r="B14" s="40">
        <f>'CLASIFICACIÓN CUENTAS'!E8</f>
        <v>-198300</v>
      </c>
      <c r="C14" s="40"/>
    </row>
    <row r="15" spans="1:3" x14ac:dyDescent="0.35">
      <c r="A15" t="s">
        <v>108</v>
      </c>
      <c r="B15" s="40">
        <f>'CLASIFICACIÓN CUENTAS'!E9</f>
        <v>-22955</v>
      </c>
      <c r="C15" s="40"/>
    </row>
    <row r="16" spans="1:3" x14ac:dyDescent="0.35">
      <c r="A16" t="s">
        <v>109</v>
      </c>
      <c r="B16" s="40">
        <f>'CLASIFICACIÓN CUENTAS'!F19</f>
        <v>24037.5</v>
      </c>
      <c r="C16" s="40"/>
    </row>
    <row r="17" spans="1:3" x14ac:dyDescent="0.35">
      <c r="A17" t="s">
        <v>110</v>
      </c>
      <c r="B17" s="40">
        <f>'CLASIFICACIÓN CUENTAS'!F20</f>
        <v>15275</v>
      </c>
      <c r="C17" s="40"/>
    </row>
    <row r="18" spans="1:3" x14ac:dyDescent="0.35">
      <c r="A18" t="s">
        <v>111</v>
      </c>
      <c r="B18" s="45">
        <f>'CLASIFICACIÓN CUENTAS'!F21</f>
        <v>15070</v>
      </c>
      <c r="C18" s="40"/>
    </row>
    <row r="19" spans="1:3" x14ac:dyDescent="0.35">
      <c r="A19" s="39" t="s">
        <v>112</v>
      </c>
      <c r="C19" s="40">
        <f>SUM(B14:B18)</f>
        <v>-166872.5</v>
      </c>
    </row>
    <row r="20" spans="1:3" x14ac:dyDescent="0.35">
      <c r="A20" s="39" t="s">
        <v>113</v>
      </c>
      <c r="B20" s="40"/>
      <c r="C20" s="40"/>
    </row>
    <row r="21" spans="1:3" x14ac:dyDescent="0.35">
      <c r="A21" t="s">
        <v>114</v>
      </c>
      <c r="B21" s="40">
        <f>'CLASIFICACIÓN CUENTAS'!G11</f>
        <v>-10450</v>
      </c>
    </row>
    <row r="22" spans="1:3" x14ac:dyDescent="0.35">
      <c r="A22" t="s">
        <v>115</v>
      </c>
      <c r="B22" s="45">
        <f>'CLASIFICACIÓN CUENTAS'!G15</f>
        <v>-25000</v>
      </c>
      <c r="C22" s="41"/>
    </row>
    <row r="23" spans="1:3" x14ac:dyDescent="0.35">
      <c r="A23" s="39" t="s">
        <v>116</v>
      </c>
      <c r="B23" s="40"/>
      <c r="C23" s="40">
        <f>SUM(B21:B22)</f>
        <v>-35450</v>
      </c>
    </row>
    <row r="24" spans="1:3" x14ac:dyDescent="0.35">
      <c r="A24" s="39" t="s">
        <v>117</v>
      </c>
      <c r="B24" s="40"/>
      <c r="C24" s="40"/>
    </row>
    <row r="25" spans="1:3" x14ac:dyDescent="0.35">
      <c r="A25" t="s">
        <v>118</v>
      </c>
      <c r="B25" s="40">
        <f>'CLASIFICACIÓN CUENTAS'!H23</f>
        <v>968410</v>
      </c>
      <c r="C25" s="40"/>
    </row>
    <row r="26" spans="1:3" x14ac:dyDescent="0.35">
      <c r="A26" t="s">
        <v>119</v>
      </c>
      <c r="B26" s="45">
        <f>'CLASIFICACIÓN CUENTAS'!D24</f>
        <v>-746932</v>
      </c>
      <c r="C26" s="40"/>
    </row>
    <row r="27" spans="1:3" x14ac:dyDescent="0.35">
      <c r="A27" s="39" t="s">
        <v>120</v>
      </c>
      <c r="B27" s="40"/>
      <c r="C27" s="45">
        <f>SUM(B25:B26)</f>
        <v>221478</v>
      </c>
    </row>
    <row r="28" spans="1:3" x14ac:dyDescent="0.35">
      <c r="A28" s="39" t="s">
        <v>121</v>
      </c>
      <c r="B28" s="40"/>
      <c r="C28" s="40">
        <f>SUM(C12:C27)</f>
        <v>995053</v>
      </c>
    </row>
    <row r="29" spans="1:3" x14ac:dyDescent="0.35">
      <c r="A29" t="str">
        <f>'CLASIFICACIÓN CUENTAS'!A5</f>
        <v>efectivo y equivalentes de efectivo</v>
      </c>
      <c r="C29" s="40">
        <f>'CLASIFICACIÓN CUENTAS'!B5</f>
        <v>589730</v>
      </c>
    </row>
    <row r="30" spans="1:3" x14ac:dyDescent="0.35">
      <c r="A30">
        <f>'CLASIFICACIÓN CUENTAS'!A6</f>
        <v>0</v>
      </c>
      <c r="C30" s="40">
        <f>'CLASIFICACIÓN CUENTAS'!B6</f>
        <v>0</v>
      </c>
    </row>
    <row r="31" spans="1:3" x14ac:dyDescent="0.35">
      <c r="A31">
        <f>'CLASIFICACIÓN CUENTAS'!A7</f>
        <v>0</v>
      </c>
      <c r="B31" s="40"/>
      <c r="C31" s="45">
        <f>'CLASIFICACIÓN CUENTAS'!B7</f>
        <v>0</v>
      </c>
    </row>
    <row r="32" spans="1:3" x14ac:dyDescent="0.35">
      <c r="A32" s="39" t="s">
        <v>122</v>
      </c>
      <c r="B32" s="40"/>
      <c r="C32" s="40">
        <f>SUM(C28:C31)</f>
        <v>1584783</v>
      </c>
    </row>
  </sheetData>
  <pageMargins left="1" right="1" top="1" bottom="1" header="0.39374999999999999" footer="0.39374999999999999"/>
  <pageSetup fitToWidth="0" pageOrder="overThenDown"/>
  <extLst>
    <ext uri="smNativeData">
      <pm:sheetPrefs xmlns:pm="smNativeData" day="1756407961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BALANCES GENERALES</vt:lpstr>
      <vt:lpstr>EDO. DE RESULTADOS</vt:lpstr>
      <vt:lpstr>CLASIFICACIÓN CUENTAS</vt:lpstr>
      <vt:lpstr>flujo de efectivo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LCDA. VERONICA XICARA</dc:creator>
  <cp:keywords/>
  <dc:description/>
  <cp:lastModifiedBy>DANIEL EDUARDO BAUTISTA FUENTES</cp:lastModifiedBy>
  <cp:revision>0</cp:revision>
  <cp:lastPrinted>2024-08-30T06:02:48Z</cp:lastPrinted>
  <dcterms:created xsi:type="dcterms:W3CDTF">2024-08-15T23:43:15Z</dcterms:created>
  <dcterms:modified xsi:type="dcterms:W3CDTF">2025-09-04T17:43:36Z</dcterms:modified>
</cp:coreProperties>
</file>
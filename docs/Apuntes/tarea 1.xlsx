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debautistaf_correo_url_edu_gt/Documents/URL/estrategias administracion/"/>
    </mc:Choice>
  </mc:AlternateContent>
  <xr:revisionPtr revIDLastSave="474" documentId="8_{BA0C9F97-8D58-42CB-8006-451F59F6C8C5}" xr6:coauthVersionLast="47" xr6:coauthVersionMax="47" xr10:uidLastSave="{F6123991-34C5-4D5D-984C-5520285695AC}"/>
  <bookViews>
    <workbookView xWindow="-110" yWindow="-110" windowWidth="25820" windowHeight="15500" firstSheet="3" activeTab="2" xr2:uid="{1AEEE745-7617-4475-B2D7-5714A1C10915}"/>
  </bookViews>
  <sheets>
    <sheet name="estado financiero" sheetId="1" r:id="rId1"/>
    <sheet name="balance general" sheetId="2" r:id="rId2"/>
    <sheet name="estado financiero - vertical" sheetId="3" r:id="rId3"/>
    <sheet name="balance general - analisi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3" l="1"/>
  <c r="B56" i="3"/>
  <c r="B43" i="3"/>
  <c r="B48" i="3" s="1"/>
  <c r="C58" i="4"/>
  <c r="B58" i="4"/>
  <c r="B56" i="4"/>
  <c r="B48" i="4"/>
  <c r="B55" i="4" s="1"/>
  <c r="A48" i="4"/>
  <c r="B29" i="4"/>
  <c r="C22" i="4"/>
  <c r="C16" i="4"/>
  <c r="C14" i="4"/>
  <c r="C12" i="4"/>
  <c r="C9" i="4"/>
  <c r="D34" i="3"/>
  <c r="D29" i="3"/>
  <c r="B12" i="3"/>
  <c r="C7" i="3"/>
  <c r="D7" i="3" s="1"/>
  <c r="D17" i="1"/>
  <c r="B29" i="2"/>
  <c r="C30" i="2" s="1"/>
  <c r="C22" i="2"/>
  <c r="C25" i="2" s="1"/>
  <c r="C16" i="2"/>
  <c r="C14" i="2"/>
  <c r="C12" i="2"/>
  <c r="C9" i="2"/>
  <c r="C17" i="2" s="1"/>
  <c r="D34" i="1"/>
  <c r="D29" i="1"/>
  <c r="B12" i="1"/>
  <c r="C7" i="1"/>
  <c r="B49" i="3" l="1"/>
  <c r="B42" i="3"/>
  <c r="C43" i="3" s="1"/>
  <c r="C49" i="3"/>
  <c r="C51" i="3" s="1"/>
  <c r="B35" i="4"/>
  <c r="B47" i="4"/>
  <c r="B49" i="4" s="1"/>
  <c r="B36" i="4"/>
  <c r="B41" i="4" s="1"/>
  <c r="B50" i="4"/>
  <c r="C17" i="4"/>
  <c r="E9" i="4"/>
  <c r="E16" i="4"/>
  <c r="C25" i="4"/>
  <c r="E22" i="4"/>
  <c r="D16" i="4"/>
  <c r="C30" i="4"/>
  <c r="E30" i="4" s="1"/>
  <c r="D29" i="4"/>
  <c r="E33" i="3"/>
  <c r="E32" i="3"/>
  <c r="E28" i="3"/>
  <c r="E27" i="3"/>
  <c r="E26" i="3"/>
  <c r="E25" i="3"/>
  <c r="E24" i="3"/>
  <c r="E23" i="3"/>
  <c r="E22" i="3"/>
  <c r="E21" i="3"/>
  <c r="E20" i="3"/>
  <c r="E16" i="3"/>
  <c r="E13" i="3"/>
  <c r="E11" i="3"/>
  <c r="E10" i="3"/>
  <c r="E9" i="3"/>
  <c r="C14" i="3"/>
  <c r="B55" i="3" s="1"/>
  <c r="E12" i="3"/>
  <c r="E29" i="3"/>
  <c r="E34" i="3"/>
  <c r="C14" i="1"/>
  <c r="D7" i="1"/>
  <c r="C31" i="2"/>
  <c r="C50" i="4" l="1"/>
  <c r="C36" i="4"/>
  <c r="B40" i="4"/>
  <c r="C31" i="4"/>
  <c r="D31" i="4" s="1"/>
  <c r="D25" i="4"/>
  <c r="E24" i="4"/>
  <c r="D21" i="4"/>
  <c r="D22" i="4"/>
  <c r="D27" i="4"/>
  <c r="D28" i="4"/>
  <c r="D30" i="4"/>
  <c r="D20" i="4"/>
  <c r="D17" i="4"/>
  <c r="D12" i="4"/>
  <c r="D13" i="4"/>
  <c r="D14" i="4"/>
  <c r="D15" i="4"/>
  <c r="D11" i="4"/>
  <c r="D6" i="4"/>
  <c r="D7" i="4"/>
  <c r="D8" i="4"/>
  <c r="D9" i="4"/>
  <c r="D5" i="4"/>
  <c r="C15" i="3"/>
  <c r="E14" i="3"/>
  <c r="C15" i="1"/>
  <c r="B54" i="4" l="1"/>
  <c r="B57" i="4" s="1"/>
  <c r="C41" i="4"/>
  <c r="D17" i="3"/>
  <c r="E15" i="3"/>
  <c r="E17" i="3" l="1"/>
  <c r="D18" i="3"/>
  <c r="D18" i="1"/>
  <c r="D30" i="3" l="1"/>
  <c r="E18" i="3"/>
  <c r="D30" i="1"/>
  <c r="D35" i="3" l="1"/>
  <c r="E30" i="3"/>
  <c r="D35" i="1"/>
  <c r="D36" i="3" l="1"/>
  <c r="E35" i="3"/>
  <c r="D36" i="1"/>
  <c r="D37" i="1"/>
  <c r="E36" i="3" l="1"/>
  <c r="D37" i="3"/>
  <c r="E37" i="3" s="1"/>
</calcChain>
</file>

<file path=xl/sharedStrings.xml><?xml version="1.0" encoding="utf-8"?>
<sst xmlns="http://schemas.openxmlformats.org/spreadsheetml/2006/main" count="179" uniqueCount="102">
  <si>
    <t>Comercial los olivos propiedad "los olivos" S.A. estado de resultados del 01 de enero al 31 de dicimebre del 2024</t>
  </si>
  <si>
    <t>Cifras expresadas en quetzales</t>
  </si>
  <si>
    <t>COLUMNA 1</t>
  </si>
  <si>
    <t>COLUMNA 2</t>
  </si>
  <si>
    <t>COLUMNA 3</t>
  </si>
  <si>
    <t>INGRESOS</t>
  </si>
  <si>
    <t>Ventas tienda 1</t>
  </si>
  <si>
    <t>Ventas tienda 2</t>
  </si>
  <si>
    <t>Total de ventas</t>
  </si>
  <si>
    <t>COSTO DE VENTAS</t>
  </si>
  <si>
    <t>Inventario I mercaderias</t>
  </si>
  <si>
    <t>Compras mercadería</t>
  </si>
  <si>
    <t>+ fletes compras de mercaderia</t>
  </si>
  <si>
    <t>Compras brutas</t>
  </si>
  <si>
    <t>-) devoluciones sobre compras</t>
  </si>
  <si>
    <t>Compras netas</t>
  </si>
  <si>
    <t>Mercaderia disponible</t>
  </si>
  <si>
    <t>-) Inventario mercaderia II</t>
  </si>
  <si>
    <t>Total costo de ventas</t>
  </si>
  <si>
    <t>utilidad bruta</t>
  </si>
  <si>
    <t>GASTOS DE OPERACIÓN</t>
  </si>
  <si>
    <t>Alquileres</t>
  </si>
  <si>
    <t>Bonificación incentivo</t>
  </si>
  <si>
    <t>Impuestos y contribuciones</t>
  </si>
  <si>
    <t>Pago seguro social</t>
  </si>
  <si>
    <t>Papelería y útiles</t>
  </si>
  <si>
    <t>Reparación de equipo de cómputo</t>
  </si>
  <si>
    <t>Servicio telefónico</t>
  </si>
  <si>
    <t>Sueldos y salarios</t>
  </si>
  <si>
    <t>Utiles de limpieza</t>
  </si>
  <si>
    <t>Total de gastos de operación</t>
  </si>
  <si>
    <t>Utilidad operativa</t>
  </si>
  <si>
    <t>+/- GASTOS Y PRODUCTOS FINANCIEROS</t>
  </si>
  <si>
    <t>Intereses sobre prestamos</t>
  </si>
  <si>
    <t>Intereces percibidos</t>
  </si>
  <si>
    <t>Total gastos y productos financieros</t>
  </si>
  <si>
    <t>Utilidad antes de impuestos</t>
  </si>
  <si>
    <t>Impuesto sobre la renta (ISR 25%)</t>
  </si>
  <si>
    <t>Comercial "los olivos", propiedad los olivos S.A.. Balance General del 01 de enero</t>
  </si>
  <si>
    <t>al 31 de diciembre 2024. Cifras expresadas en Guatemala</t>
  </si>
  <si>
    <t>ACTIVO</t>
  </si>
  <si>
    <t>CORRIENTE</t>
  </si>
  <si>
    <t>Bancos</t>
  </si>
  <si>
    <t>Caja</t>
  </si>
  <si>
    <t>Clientes</t>
  </si>
  <si>
    <t>Inventarios II mercaderia</t>
  </si>
  <si>
    <t>Cuentas por cobrar</t>
  </si>
  <si>
    <t>NO CORRIENTE</t>
  </si>
  <si>
    <t>Equipo de computación</t>
  </si>
  <si>
    <t>- ) depreciacion acumulada equipo de computo</t>
  </si>
  <si>
    <t>Mobiliario y equipos</t>
  </si>
  <si>
    <t>- ) depreciacion acumulada mobiliario y equipo</t>
  </si>
  <si>
    <t>Vehiculos</t>
  </si>
  <si>
    <t>- ) depreciacion acumulada vehiculos</t>
  </si>
  <si>
    <t>Suma de activo</t>
  </si>
  <si>
    <t>PASIVO</t>
  </si>
  <si>
    <t>Acreedores</t>
  </si>
  <si>
    <t>Cuentas por pagar</t>
  </si>
  <si>
    <t>Proveedores</t>
  </si>
  <si>
    <t>Prestamos banco America</t>
  </si>
  <si>
    <t>Suma del pasivo</t>
  </si>
  <si>
    <t>PATRIMONIO/CAPITAL</t>
  </si>
  <si>
    <t>Capital autorizado</t>
  </si>
  <si>
    <t>-) Acciones por suscribir</t>
  </si>
  <si>
    <t>Utilidad del ejercicio</t>
  </si>
  <si>
    <t>Analisis vertical</t>
  </si>
  <si>
    <t>La empresa pudo contar hasta con un 75% de sus ingresos en inventario de mercaderias, pudo haber vendido todo ese total pero le sobro un inventario que es del 16%</t>
  </si>
  <si>
    <t>Se ha ganado unicament eel 25%, han tenido que invertir 5 millones para ganar unicamente el 25%, el parametro para decir que esta bien o mal son los % de rendimiento en las financieras</t>
  </si>
  <si>
    <t>En este caso, la cooperativa salcaja da 15% para 1 millon o mas, asi que ese 25% es muy rentable</t>
  </si>
  <si>
    <t>RAZONES DE ACTIVIDADES</t>
  </si>
  <si>
    <t>5. ROTACION DE CARTERA</t>
  </si>
  <si>
    <t>Ventas Netas</t>
  </si>
  <si>
    <t>Cuentas por cobrar (clientes)</t>
  </si>
  <si>
    <t>Por cada Q1.00 que la persona vende al credito, esta vendiendo Q11.59 al contado</t>
  </si>
  <si>
    <t>La empresa trata de que todas sus ventas sea al contado</t>
  </si>
  <si>
    <t>6. PLAZO PROMEDIO DE CARTERA</t>
  </si>
  <si>
    <t>DIAS</t>
  </si>
  <si>
    <t>Por cada Q1.00 que vende, le esta dando 31.05 dias al cliente para poder pagar</t>
  </si>
  <si>
    <t>En promedio, durante el ejercicio contable, la empresa a otorgado 31.06 dias de crédito para el pago de sus ventas</t>
  </si>
  <si>
    <t>7. ROTACION DE CUENTAS POR PAGAR</t>
  </si>
  <si>
    <t>Cuentas por pagar (proveedores)</t>
  </si>
  <si>
    <t>Durante el año, la empresa 6.52 veces pudo comprar al credito y le pudo pagar a los proveedores</t>
  </si>
  <si>
    <t>8. ACTIVIDAD</t>
  </si>
  <si>
    <t>RAZONES DE LIQUIDEZ Y SOLVENCIA</t>
  </si>
  <si>
    <t>I. RAZON DE CAPITAL DE TRABAJO</t>
  </si>
  <si>
    <t>Activo corriente</t>
  </si>
  <si>
    <t>Pasivo Corriente</t>
  </si>
  <si>
    <t>La empresa, luego de cubrir todas sus deudas a corto plazo, dispone de 1,622,297.20, lo que significa que no esta endeudada o no puede cumplir con sus obligaciones</t>
  </si>
  <si>
    <t>II. RAZON CIRCULANTE</t>
  </si>
  <si>
    <t>Hasta donde puede cumplir las deudas a corto plazo</t>
  </si>
  <si>
    <t>La empresa puede cubrir 4.32 veces sus deudas a corto plazo</t>
  </si>
  <si>
    <t>Por cada Q 1.00 que la empresa debe cuenta con Q4.32 en liquidez</t>
  </si>
  <si>
    <t>Si la empresa pata hoy su deuda a corto plazo, aun dispone de Q3.32 de liquidez</t>
  </si>
  <si>
    <t>III. RAZON DE LIQUIDEZ</t>
  </si>
  <si>
    <t>Activo liquido</t>
  </si>
  <si>
    <t>Pasivo corriente</t>
  </si>
  <si>
    <t>Si la empresa decide pagar sus deudas a corto plazo hoy, y no quiere ocupar su inventario, aun tiene una liquidez de Q2.61 por cada Q1.00 que pague de su deuda</t>
  </si>
  <si>
    <t>IV. RAZON DE PAGO INMEDIATO</t>
  </si>
  <si>
    <t>Activo circulante</t>
  </si>
  <si>
    <t xml:space="preserve">Inventario </t>
  </si>
  <si>
    <t>Activo disponible</t>
  </si>
  <si>
    <t>Si la empresa decide pagar hoy sus deudas sin incluir su inventario y las deudas de sus clientes, tiene un total de Q2.54 por cada Q1.00 de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</si>
</sst>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GTQ]\ #,##0.00_);\([$GTQ]\ #,##0.00\)"/>
    <numFmt numFmtId="166" formatCode="_([$GTQ]\ * #,##0.00_);_([$GTQ]\ * \(#,##0.00\);_([$GTQ]\ 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165" fontId="0" fillId="0" borderId="0" xfId="1" applyNumberFormat="1" applyFont="1"/>
    <xf numFmtId="165" fontId="0" fillId="0" borderId="1" xfId="1" applyNumberFormat="1" applyFont="1" applyBorder="1"/>
    <xf numFmtId="49" fontId="2" fillId="0" borderId="0" xfId="0" applyNumberFormat="1" applyFont="1"/>
    <xf numFmtId="165" fontId="2" fillId="0" borderId="0" xfId="1" applyNumberFormat="1" applyFont="1"/>
    <xf numFmtId="165" fontId="2" fillId="0" borderId="1" xfId="1" applyNumberFormat="1" applyFont="1" applyBorder="1"/>
    <xf numFmtId="165" fontId="0" fillId="0" borderId="2" xfId="1" applyNumberFormat="1" applyFont="1" applyBorder="1"/>
    <xf numFmtId="165" fontId="0" fillId="0" borderId="0" xfId="0" applyNumberFormat="1"/>
    <xf numFmtId="165" fontId="2" fillId="0" borderId="1" xfId="0" applyNumberFormat="1" applyFont="1" applyBorder="1"/>
    <xf numFmtId="165" fontId="0" fillId="0" borderId="2" xfId="0" applyNumberFormat="1" applyBorder="1"/>
    <xf numFmtId="165" fontId="2" fillId="0" borderId="0" xfId="0" applyNumberFormat="1" applyFont="1"/>
    <xf numFmtId="166" fontId="0" fillId="0" borderId="0" xfId="0" applyNumberFormat="1"/>
    <xf numFmtId="166" fontId="0" fillId="0" borderId="1" xfId="0" applyNumberFormat="1" applyBorder="1"/>
    <xf numFmtId="166" fontId="2" fillId="0" borderId="1" xfId="0" applyNumberFormat="1" applyFont="1" applyBorder="1"/>
    <xf numFmtId="166" fontId="0" fillId="0" borderId="2" xfId="0" applyNumberFormat="1" applyBorder="1"/>
    <xf numFmtId="165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0" fontId="0" fillId="0" borderId="0" xfId="0" applyNumberFormat="1"/>
    <xf numFmtId="0" fontId="3" fillId="2" borderId="0" xfId="0" applyFont="1" applyFill="1" applyAlignment="1">
      <alignment horizontal="center"/>
    </xf>
    <xf numFmtId="10" fontId="0" fillId="2" borderId="0" xfId="0" applyNumberFormat="1" applyFill="1"/>
    <xf numFmtId="0" fontId="0" fillId="0" borderId="0" xfId="0" applyAlignment="1">
      <alignment wrapText="1"/>
    </xf>
    <xf numFmtId="0" fontId="0" fillId="3" borderId="0" xfId="0" applyFill="1"/>
    <xf numFmtId="10" fontId="0" fillId="4" borderId="0" xfId="0" applyNumberFormat="1" applyFill="1"/>
    <xf numFmtId="10" fontId="0" fillId="0" borderId="0" xfId="0" applyNumberFormat="1" applyAlignment="1"/>
    <xf numFmtId="10" fontId="0" fillId="4" borderId="0" xfId="0" applyNumberFormat="1" applyFill="1" applyAlignment="1"/>
    <xf numFmtId="166" fontId="0" fillId="0" borderId="0" xfId="0" applyNumberFormat="1" applyAlignment="1"/>
    <xf numFmtId="166" fontId="0" fillId="0" borderId="3" xfId="0" applyNumberFormat="1" applyBorder="1"/>
    <xf numFmtId="166" fontId="3" fillId="0" borderId="0" xfId="0" applyNumberFormat="1" applyFont="1"/>
    <xf numFmtId="2" fontId="3" fillId="0" borderId="0" xfId="0" applyNumberFormat="1" applyFont="1"/>
    <xf numFmtId="0" fontId="3" fillId="0" borderId="0" xfId="0" applyNumberFormat="1" applyFont="1"/>
    <xf numFmtId="49" fontId="4" fillId="0" borderId="0" xfId="0" applyNumberFormat="1" applyFont="1"/>
    <xf numFmtId="0" fontId="0" fillId="0" borderId="0" xfId="1" applyNumberFormat="1" applyFont="1"/>
    <xf numFmtId="0" fontId="0" fillId="0" borderId="0" xfId="0" applyAlignment="1"/>
    <xf numFmtId="0" fontId="3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412B-7F86-417D-B83D-375CA7B4FC05}">
  <dimension ref="A1:F38"/>
  <sheetViews>
    <sheetView workbookViewId="0">
      <selection activeCell="E1" sqref="E1:F1048576"/>
    </sheetView>
  </sheetViews>
  <sheetFormatPr defaultRowHeight="14.45"/>
  <cols>
    <col min="1" max="1" width="43.85546875" style="1" customWidth="1"/>
    <col min="2" max="3" width="16.140625" style="3" bestFit="1" customWidth="1"/>
    <col min="4" max="4" width="16.140625" bestFit="1" customWidth="1"/>
    <col min="5" max="5" width="14.140625" bestFit="1" customWidth="1"/>
    <col min="6" max="6" width="78.85546875" customWidth="1"/>
  </cols>
  <sheetData>
    <row r="1" spans="1:6">
      <c r="A1" s="1" t="s">
        <v>0</v>
      </c>
      <c r="E1" s="23"/>
    </row>
    <row r="2" spans="1:6" ht="15">
      <c r="A2" s="1" t="s">
        <v>1</v>
      </c>
      <c r="E2" s="23"/>
    </row>
    <row r="3" spans="1:6" ht="15">
      <c r="B3" s="17" t="s">
        <v>2</v>
      </c>
      <c r="C3" s="17" t="s">
        <v>3</v>
      </c>
      <c r="D3" s="18" t="s">
        <v>4</v>
      </c>
      <c r="E3" s="20"/>
    </row>
    <row r="4" spans="1:6" ht="15">
      <c r="A4" s="2" t="s">
        <v>5</v>
      </c>
      <c r="E4" s="21"/>
    </row>
    <row r="5" spans="1:6" ht="15">
      <c r="A5" s="1" t="s">
        <v>6</v>
      </c>
      <c r="B5" s="3">
        <v>3340000</v>
      </c>
      <c r="E5" s="21"/>
    </row>
    <row r="6" spans="1:6" ht="15">
      <c r="A6" s="1" t="s">
        <v>7</v>
      </c>
      <c r="B6" s="3">
        <v>1825400</v>
      </c>
      <c r="E6" s="21"/>
    </row>
    <row r="7" spans="1:6" ht="15">
      <c r="A7" s="1" t="s">
        <v>8</v>
      </c>
      <c r="C7" s="8">
        <f>SUM(B5:B6)</f>
        <v>5165400</v>
      </c>
      <c r="D7" s="9">
        <f>C7</f>
        <v>5165400</v>
      </c>
      <c r="E7" s="21"/>
    </row>
    <row r="8" spans="1:6" ht="15">
      <c r="A8" s="2" t="s">
        <v>9</v>
      </c>
      <c r="E8" s="21"/>
    </row>
    <row r="9" spans="1:6" ht="15">
      <c r="A9" s="1" t="s">
        <v>10</v>
      </c>
      <c r="C9" s="3">
        <v>760000</v>
      </c>
      <c r="E9" s="21"/>
    </row>
    <row r="10" spans="1:6" ht="15">
      <c r="A10" s="1" t="s">
        <v>11</v>
      </c>
      <c r="B10" s="3">
        <v>3225000</v>
      </c>
      <c r="E10" s="21"/>
    </row>
    <row r="11" spans="1:6" ht="15">
      <c r="A11" s="1" t="s">
        <v>12</v>
      </c>
      <c r="B11" s="4">
        <v>48000</v>
      </c>
      <c r="E11" s="21"/>
    </row>
    <row r="12" spans="1:6" ht="15">
      <c r="A12" s="1" t="s">
        <v>13</v>
      </c>
      <c r="B12" s="3">
        <f>SUM(B10:B11)</f>
        <v>3273000</v>
      </c>
      <c r="E12" s="21"/>
    </row>
    <row r="13" spans="1:6" ht="15">
      <c r="A13" s="5" t="s">
        <v>14</v>
      </c>
      <c r="B13" s="7">
        <v>135200</v>
      </c>
      <c r="E13" s="21"/>
    </row>
    <row r="14" spans="1:6" ht="15">
      <c r="A14" s="1" t="s">
        <v>15</v>
      </c>
      <c r="C14" s="4">
        <f>B12-B13</f>
        <v>3137800</v>
      </c>
      <c r="E14" s="21"/>
    </row>
    <row r="15" spans="1:6" ht="32.25" customHeight="1">
      <c r="A15" s="1" t="s">
        <v>16</v>
      </c>
      <c r="C15" s="3">
        <f>C14+C9</f>
        <v>3897800</v>
      </c>
      <c r="E15" s="21"/>
      <c r="F15" s="22"/>
    </row>
    <row r="16" spans="1:6" ht="15">
      <c r="A16" s="5" t="s">
        <v>17</v>
      </c>
      <c r="B16" s="6"/>
      <c r="C16" s="7">
        <v>-835000</v>
      </c>
      <c r="E16" s="21"/>
    </row>
    <row r="17" spans="1:5" ht="15">
      <c r="A17" s="1" t="s">
        <v>18</v>
      </c>
      <c r="D17" s="7">
        <f>SUM(C15:C16)</f>
        <v>3062800</v>
      </c>
      <c r="E17" s="21"/>
    </row>
    <row r="18" spans="1:5" ht="15">
      <c r="A18" s="2" t="s">
        <v>19</v>
      </c>
      <c r="D18" s="9">
        <f>D7-D17</f>
        <v>2102600</v>
      </c>
      <c r="E18" s="21"/>
    </row>
    <row r="19" spans="1:5" ht="15">
      <c r="A19" s="2" t="s">
        <v>20</v>
      </c>
      <c r="E19" s="21"/>
    </row>
    <row r="20" spans="1:5" ht="15">
      <c r="A20" s="1" t="s">
        <v>21</v>
      </c>
      <c r="C20" s="3">
        <v>36000</v>
      </c>
      <c r="E20" s="21"/>
    </row>
    <row r="21" spans="1:5" ht="15">
      <c r="A21" s="1" t="s">
        <v>22</v>
      </c>
      <c r="C21" s="3">
        <v>15000</v>
      </c>
      <c r="E21" s="21"/>
    </row>
    <row r="22" spans="1:5" ht="15">
      <c r="A22" s="1" t="s">
        <v>23</v>
      </c>
      <c r="C22" s="3">
        <v>1560</v>
      </c>
      <c r="E22" s="21"/>
    </row>
    <row r="23" spans="1:5" ht="15">
      <c r="A23" s="1" t="s">
        <v>24</v>
      </c>
      <c r="C23" s="3">
        <v>30500</v>
      </c>
      <c r="E23" s="21"/>
    </row>
    <row r="24" spans="1:5" ht="15">
      <c r="A24" s="1" t="s">
        <v>25</v>
      </c>
      <c r="C24" s="3">
        <v>4800</v>
      </c>
      <c r="E24" s="21"/>
    </row>
    <row r="25" spans="1:5" ht="15">
      <c r="A25" s="1" t="s">
        <v>26</v>
      </c>
      <c r="C25" s="3">
        <v>3600</v>
      </c>
      <c r="E25" s="21"/>
    </row>
    <row r="26" spans="1:5" ht="15">
      <c r="A26" s="1" t="s">
        <v>27</v>
      </c>
      <c r="C26" s="3">
        <v>3900</v>
      </c>
      <c r="E26" s="21"/>
    </row>
    <row r="27" spans="1:5" ht="15">
      <c r="A27" s="1" t="s">
        <v>28</v>
      </c>
      <c r="C27" s="3">
        <v>240000</v>
      </c>
      <c r="E27" s="21"/>
    </row>
    <row r="28" spans="1:5" ht="15">
      <c r="A28" s="1" t="s">
        <v>29</v>
      </c>
      <c r="C28" s="4">
        <v>6805.4</v>
      </c>
      <c r="E28" s="21"/>
    </row>
    <row r="29" spans="1:5" ht="15">
      <c r="A29" s="1" t="s">
        <v>30</v>
      </c>
      <c r="D29" s="10">
        <f>SUM(C20:C28)</f>
        <v>342165.4</v>
      </c>
      <c r="E29" s="21"/>
    </row>
    <row r="30" spans="1:5" ht="15">
      <c r="A30" s="2" t="s">
        <v>31</v>
      </c>
      <c r="D30" s="9">
        <f>D18-D29</f>
        <v>1760434.6</v>
      </c>
      <c r="E30" s="21"/>
    </row>
    <row r="31" spans="1:5" ht="15">
      <c r="A31" s="2" t="s">
        <v>32</v>
      </c>
      <c r="E31" s="21"/>
    </row>
    <row r="32" spans="1:5" ht="15">
      <c r="A32" s="1" t="s">
        <v>33</v>
      </c>
      <c r="C32" s="3">
        <v>3450</v>
      </c>
      <c r="E32" s="21"/>
    </row>
    <row r="33" spans="1:6" ht="15">
      <c r="A33" s="1" t="s">
        <v>34</v>
      </c>
      <c r="C33" s="7">
        <v>-925</v>
      </c>
      <c r="E33" s="21"/>
    </row>
    <row r="34" spans="1:6" ht="15">
      <c r="A34" s="1" t="s">
        <v>35</v>
      </c>
      <c r="D34" s="10">
        <f>SUM(C32:C33)</f>
        <v>2525</v>
      </c>
      <c r="E34" s="21"/>
    </row>
    <row r="35" spans="1:6" ht="15">
      <c r="A35" s="2" t="s">
        <v>36</v>
      </c>
      <c r="D35" s="9">
        <f>D30-D34</f>
        <v>1757909.6</v>
      </c>
      <c r="E35" s="21"/>
    </row>
    <row r="36" spans="1:6" ht="15">
      <c r="A36" s="1" t="s">
        <v>37</v>
      </c>
      <c r="D36" s="12">
        <f>D35*0.25</f>
        <v>439477.4</v>
      </c>
      <c r="E36" s="21"/>
    </row>
    <row r="37" spans="1:6" ht="31.5" customHeight="1">
      <c r="D37" s="11">
        <f>D35-D36</f>
        <v>1318432.2000000002</v>
      </c>
      <c r="E37" s="21"/>
      <c r="F37" s="22"/>
    </row>
    <row r="38" spans="1:6" ht="15">
      <c r="F38" s="2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EB59-56D7-4268-8BC3-F2D8FB58501C}">
  <dimension ref="A1:C32"/>
  <sheetViews>
    <sheetView zoomScale="159" workbookViewId="0">
      <selection activeCell="A15" sqref="A15"/>
    </sheetView>
  </sheetViews>
  <sheetFormatPr defaultRowHeight="14.45"/>
  <cols>
    <col min="1" max="1" width="43.42578125" style="1" customWidth="1"/>
    <col min="2" max="2" width="16.85546875" style="13" bestFit="1" customWidth="1"/>
    <col min="3" max="3" width="19" style="13" customWidth="1"/>
  </cols>
  <sheetData>
    <row r="1" spans="1:3">
      <c r="A1" s="1" t="s">
        <v>38</v>
      </c>
    </row>
    <row r="2" spans="1:3">
      <c r="A2" s="1" t="s">
        <v>39</v>
      </c>
    </row>
    <row r="3" spans="1:3">
      <c r="A3" s="2" t="s">
        <v>40</v>
      </c>
    </row>
    <row r="4" spans="1:3">
      <c r="A4" s="2" t="s">
        <v>41</v>
      </c>
    </row>
    <row r="5" spans="1:3">
      <c r="A5" s="1" t="s">
        <v>42</v>
      </c>
      <c r="B5" s="13">
        <v>785300</v>
      </c>
    </row>
    <row r="6" spans="1:3">
      <c r="A6" s="1" t="s">
        <v>43</v>
      </c>
      <c r="B6" s="13">
        <v>12600</v>
      </c>
    </row>
    <row r="7" spans="1:3">
      <c r="A7" s="1" t="s">
        <v>44</v>
      </c>
      <c r="B7" s="13">
        <v>445600</v>
      </c>
    </row>
    <row r="8" spans="1:3">
      <c r="A8" s="1" t="s">
        <v>45</v>
      </c>
      <c r="B8" s="13">
        <v>835000</v>
      </c>
    </row>
    <row r="9" spans="1:3">
      <c r="A9" s="1" t="s">
        <v>46</v>
      </c>
      <c r="B9" s="14">
        <v>32500</v>
      </c>
      <c r="C9" s="13">
        <f>SUM(B5:B9)</f>
        <v>2111000</v>
      </c>
    </row>
    <row r="10" spans="1:3">
      <c r="A10" s="2" t="s">
        <v>47</v>
      </c>
    </row>
    <row r="11" spans="1:3">
      <c r="A11" s="1" t="s">
        <v>48</v>
      </c>
      <c r="B11" s="13">
        <v>55400</v>
      </c>
    </row>
    <row r="12" spans="1:3">
      <c r="A12" s="1" t="s">
        <v>49</v>
      </c>
      <c r="B12" s="15">
        <v>-21800</v>
      </c>
      <c r="C12" s="13">
        <f>SUM(B11:B12)</f>
        <v>33600</v>
      </c>
    </row>
    <row r="13" spans="1:3">
      <c r="A13" s="1" t="s">
        <v>50</v>
      </c>
      <c r="B13" s="13">
        <v>44300</v>
      </c>
    </row>
    <row r="14" spans="1:3">
      <c r="A14" s="1" t="s">
        <v>51</v>
      </c>
      <c r="B14" s="15">
        <v>-12800</v>
      </c>
      <c r="C14" s="13">
        <f>SUM(B13:B14)</f>
        <v>31500</v>
      </c>
    </row>
    <row r="15" spans="1:3">
      <c r="A15" s="1" t="s">
        <v>52</v>
      </c>
      <c r="B15" s="13">
        <v>35900</v>
      </c>
    </row>
    <row r="16" spans="1:3">
      <c r="A16" s="1" t="s">
        <v>53</v>
      </c>
      <c r="B16" s="15">
        <v>-12565</v>
      </c>
      <c r="C16" s="13">
        <f>SUM(B15:B16)</f>
        <v>23335</v>
      </c>
    </row>
    <row r="17" spans="1:3" ht="15" thickBot="1">
      <c r="A17" s="2" t="s">
        <v>54</v>
      </c>
      <c r="C17" s="16">
        <f>SUM(C9:C16)</f>
        <v>2199435</v>
      </c>
    </row>
    <row r="18" spans="1:3" ht="15" thickTop="1">
      <c r="A18" s="2" t="s">
        <v>55</v>
      </c>
    </row>
    <row r="19" spans="1:3">
      <c r="A19" s="2" t="s">
        <v>41</v>
      </c>
    </row>
    <row r="20" spans="1:3">
      <c r="A20" s="1" t="s">
        <v>56</v>
      </c>
      <c r="B20" s="13">
        <v>6200</v>
      </c>
    </row>
    <row r="21" spans="1:3">
      <c r="A21" s="1" t="s">
        <v>57</v>
      </c>
      <c r="B21" s="13">
        <v>1402.8</v>
      </c>
    </row>
    <row r="22" spans="1:3">
      <c r="A22" s="1" t="s">
        <v>58</v>
      </c>
      <c r="B22" s="14">
        <v>481100</v>
      </c>
      <c r="C22" s="13">
        <f>SUM(B20:B22)</f>
        <v>488702.8</v>
      </c>
    </row>
    <row r="23" spans="1:3">
      <c r="A23" s="2" t="s">
        <v>47</v>
      </c>
    </row>
    <row r="24" spans="1:3">
      <c r="A24" s="1" t="s">
        <v>59</v>
      </c>
      <c r="C24" s="14">
        <v>42300</v>
      </c>
    </row>
    <row r="25" spans="1:3">
      <c r="A25" s="2" t="s">
        <v>60</v>
      </c>
      <c r="C25" s="13">
        <f>SUM(C22:C24)</f>
        <v>531002.80000000005</v>
      </c>
    </row>
    <row r="26" spans="1:3">
      <c r="A26" s="2" t="s">
        <v>61</v>
      </c>
    </row>
    <row r="27" spans="1:3">
      <c r="A27" s="1" t="s">
        <v>62</v>
      </c>
      <c r="B27" s="13">
        <v>1000000</v>
      </c>
    </row>
    <row r="28" spans="1:3">
      <c r="A28" s="1" t="s">
        <v>63</v>
      </c>
      <c r="B28" s="15">
        <v>-650000</v>
      </c>
    </row>
    <row r="29" spans="1:3">
      <c r="B29" s="13">
        <f>SUM(B27:B28)</f>
        <v>350000</v>
      </c>
    </row>
    <row r="30" spans="1:3">
      <c r="A30" s="1" t="s">
        <v>64</v>
      </c>
      <c r="B30" s="14">
        <v>1318432.2</v>
      </c>
      <c r="C30" s="13">
        <f>SUM(B29:B30)</f>
        <v>1668432.2</v>
      </c>
    </row>
    <row r="31" spans="1:3" ht="15" thickBot="1">
      <c r="C31" s="16">
        <f>SUM(C25:C30)</f>
        <v>2199435</v>
      </c>
    </row>
    <row r="32" spans="1:3" ht="1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88F1-AFAD-4144-900B-5A50212FBCCD}">
  <dimension ref="A1:F60"/>
  <sheetViews>
    <sheetView tabSelected="1" topLeftCell="A35" workbookViewId="0">
      <selection activeCell="A60" sqref="A60"/>
    </sheetView>
  </sheetViews>
  <sheetFormatPr defaultRowHeight="15"/>
  <cols>
    <col min="1" max="1" width="43.85546875" style="1" customWidth="1"/>
    <col min="2" max="2" width="16.140625" style="3" bestFit="1" customWidth="1"/>
    <col min="3" max="3" width="16.140625" style="33" bestFit="1" customWidth="1"/>
    <col min="4" max="4" width="36.5703125" bestFit="1" customWidth="1"/>
    <col min="5" max="5" width="14.140625" bestFit="1" customWidth="1"/>
    <col min="6" max="6" width="78.85546875" customWidth="1"/>
  </cols>
  <sheetData>
    <row r="1" spans="1:6">
      <c r="A1" s="1" t="s">
        <v>0</v>
      </c>
      <c r="C1" s="3"/>
      <c r="E1" s="23"/>
    </row>
    <row r="2" spans="1:6">
      <c r="A2" s="1" t="s">
        <v>1</v>
      </c>
      <c r="C2" s="3"/>
      <c r="E2" s="23"/>
    </row>
    <row r="3" spans="1:6">
      <c r="B3" s="17" t="s">
        <v>2</v>
      </c>
      <c r="C3" s="17" t="s">
        <v>3</v>
      </c>
      <c r="D3" s="18" t="s">
        <v>4</v>
      </c>
      <c r="E3" s="20" t="s">
        <v>65</v>
      </c>
    </row>
    <row r="4" spans="1:6">
      <c r="A4" s="2" t="s">
        <v>5</v>
      </c>
      <c r="C4" s="3"/>
      <c r="E4" s="21"/>
    </row>
    <row r="5" spans="1:6">
      <c r="A5" s="1" t="s">
        <v>6</v>
      </c>
      <c r="B5" s="3">
        <v>3340000</v>
      </c>
      <c r="C5" s="3"/>
      <c r="E5" s="21"/>
    </row>
    <row r="6" spans="1:6">
      <c r="A6" s="1" t="s">
        <v>7</v>
      </c>
      <c r="B6" s="3">
        <v>1825400</v>
      </c>
      <c r="C6" s="3"/>
      <c r="E6" s="21"/>
    </row>
    <row r="7" spans="1:6">
      <c r="A7" s="1" t="s">
        <v>8</v>
      </c>
      <c r="C7" s="8">
        <f>SUM(B5:B6)</f>
        <v>5165400</v>
      </c>
      <c r="D7" s="9">
        <f>C7</f>
        <v>5165400</v>
      </c>
      <c r="E7" s="21">
        <v>1</v>
      </c>
    </row>
    <row r="8" spans="1:6">
      <c r="A8" s="2" t="s">
        <v>9</v>
      </c>
      <c r="C8" s="3"/>
      <c r="E8" s="21"/>
    </row>
    <row r="9" spans="1:6">
      <c r="A9" s="1" t="s">
        <v>10</v>
      </c>
      <c r="C9" s="3">
        <v>760000</v>
      </c>
      <c r="E9" s="21">
        <f>C9/$D$7</f>
        <v>0.14713284547179309</v>
      </c>
    </row>
    <row r="10" spans="1:6">
      <c r="A10" s="1" t="s">
        <v>11</v>
      </c>
      <c r="B10" s="3">
        <v>3225000</v>
      </c>
      <c r="C10" s="3"/>
      <c r="E10" s="21">
        <f>B10/$D$7</f>
        <v>0.6243466140085957</v>
      </c>
    </row>
    <row r="11" spans="1:6">
      <c r="A11" s="1" t="s">
        <v>12</v>
      </c>
      <c r="B11" s="4">
        <v>48000</v>
      </c>
      <c r="C11" s="3"/>
      <c r="E11" s="21">
        <f>B11/$D$7</f>
        <v>9.2926007666395624E-3</v>
      </c>
    </row>
    <row r="12" spans="1:6">
      <c r="A12" s="1" t="s">
        <v>13</v>
      </c>
      <c r="B12" s="3">
        <f>SUM(B10:B11)</f>
        <v>3273000</v>
      </c>
      <c r="C12" s="3"/>
      <c r="E12" s="21">
        <f>B12/$D$7</f>
        <v>0.63363921477523522</v>
      </c>
    </row>
    <row r="13" spans="1:6">
      <c r="A13" s="5" t="s">
        <v>14</v>
      </c>
      <c r="B13" s="7">
        <v>135200</v>
      </c>
      <c r="C13" s="3"/>
      <c r="E13" s="21">
        <f>B13/$D$7</f>
        <v>2.6174158826034771E-2</v>
      </c>
    </row>
    <row r="14" spans="1:6">
      <c r="A14" s="1" t="s">
        <v>15</v>
      </c>
      <c r="C14" s="4">
        <f>B12-B13</f>
        <v>3137800</v>
      </c>
      <c r="E14" s="21">
        <f>C14/$D$7</f>
        <v>0.60746505594920042</v>
      </c>
    </row>
    <row r="15" spans="1:6" ht="32.25" customHeight="1">
      <c r="A15" s="1" t="s">
        <v>16</v>
      </c>
      <c r="C15" s="3">
        <f>C14+C9</f>
        <v>3897800</v>
      </c>
      <c r="E15" s="21">
        <f t="shared" ref="E15:E16" si="0">C15/$D$7</f>
        <v>0.75459790142099359</v>
      </c>
      <c r="F15" s="22" t="s">
        <v>66</v>
      </c>
    </row>
    <row r="16" spans="1:6">
      <c r="A16" s="5" t="s">
        <v>17</v>
      </c>
      <c r="B16" s="6"/>
      <c r="C16" s="7">
        <v>-835000</v>
      </c>
      <c r="E16" s="21">
        <f t="shared" si="0"/>
        <v>-0.16165253416966741</v>
      </c>
    </row>
    <row r="17" spans="1:5">
      <c r="A17" s="1" t="s">
        <v>18</v>
      </c>
      <c r="C17" s="3"/>
      <c r="D17" s="7">
        <f>SUM(C15:C16)</f>
        <v>3062800</v>
      </c>
      <c r="E17" s="21">
        <f>D17/$D$7</f>
        <v>0.59294536725132618</v>
      </c>
    </row>
    <row r="18" spans="1:5">
      <c r="A18" s="2" t="s">
        <v>19</v>
      </c>
      <c r="C18" s="3"/>
      <c r="D18" s="9">
        <f>D7-D17</f>
        <v>2102600</v>
      </c>
      <c r="E18" s="21">
        <f>D18/$D$7</f>
        <v>0.40705463274867387</v>
      </c>
    </row>
    <row r="19" spans="1:5">
      <c r="A19" s="2" t="s">
        <v>20</v>
      </c>
      <c r="C19" s="3"/>
      <c r="E19" s="21"/>
    </row>
    <row r="20" spans="1:5">
      <c r="A20" s="1" t="s">
        <v>21</v>
      </c>
      <c r="C20" s="3">
        <v>36000</v>
      </c>
      <c r="E20" s="21">
        <f>C20/$D$7</f>
        <v>6.9694505749796727E-3</v>
      </c>
    </row>
    <row r="21" spans="1:5">
      <c r="A21" s="1" t="s">
        <v>22</v>
      </c>
      <c r="C21" s="3">
        <v>15000</v>
      </c>
      <c r="E21" s="21">
        <f t="shared" ref="E21:E28" si="1">C21/$D$7</f>
        <v>2.9039377395748637E-3</v>
      </c>
    </row>
    <row r="22" spans="1:5">
      <c r="A22" s="1" t="s">
        <v>23</v>
      </c>
      <c r="C22" s="3">
        <v>1560</v>
      </c>
      <c r="E22" s="21">
        <f>C22/$D$7</f>
        <v>3.0200952491578581E-4</v>
      </c>
    </row>
    <row r="23" spans="1:5">
      <c r="A23" s="1" t="s">
        <v>24</v>
      </c>
      <c r="C23" s="3">
        <v>30500</v>
      </c>
      <c r="E23" s="21">
        <f t="shared" si="1"/>
        <v>5.9046734038022226E-3</v>
      </c>
    </row>
    <row r="24" spans="1:5">
      <c r="A24" s="1" t="s">
        <v>25</v>
      </c>
      <c r="C24" s="3">
        <v>4800</v>
      </c>
      <c r="E24" s="21">
        <f t="shared" si="1"/>
        <v>9.2926007666395633E-4</v>
      </c>
    </row>
    <row r="25" spans="1:5">
      <c r="A25" s="1" t="s">
        <v>26</v>
      </c>
      <c r="C25" s="3">
        <v>3600</v>
      </c>
      <c r="E25" s="21">
        <f t="shared" si="1"/>
        <v>6.9694505749796725E-4</v>
      </c>
    </row>
    <row r="26" spans="1:5">
      <c r="A26" s="1" t="s">
        <v>27</v>
      </c>
      <c r="C26" s="3">
        <v>3900</v>
      </c>
      <c r="E26" s="21">
        <f t="shared" si="1"/>
        <v>7.5502381228946449E-4</v>
      </c>
    </row>
    <row r="27" spans="1:5">
      <c r="A27" s="1" t="s">
        <v>28</v>
      </c>
      <c r="C27" s="3">
        <v>240000</v>
      </c>
      <c r="E27" s="21">
        <f t="shared" si="1"/>
        <v>4.6463003833197819E-2</v>
      </c>
    </row>
    <row r="28" spans="1:5">
      <c r="A28" s="1" t="s">
        <v>29</v>
      </c>
      <c r="C28" s="4">
        <v>6805.4</v>
      </c>
      <c r="E28" s="21">
        <f t="shared" si="1"/>
        <v>1.317497192860185E-3</v>
      </c>
    </row>
    <row r="29" spans="1:5">
      <c r="A29" s="1" t="s">
        <v>30</v>
      </c>
      <c r="C29" s="3"/>
      <c r="D29" s="10">
        <f>SUM(C20:C28)</f>
        <v>342165.4</v>
      </c>
      <c r="E29" s="21">
        <f>D29/$D$7</f>
        <v>6.6241801215781937E-2</v>
      </c>
    </row>
    <row r="30" spans="1:5">
      <c r="A30" s="2" t="s">
        <v>31</v>
      </c>
      <c r="C30" s="3"/>
      <c r="D30" s="9">
        <f>D18-D29</f>
        <v>1760434.6</v>
      </c>
      <c r="E30" s="21">
        <f t="shared" ref="E30:E37" si="2">D30/$D$7</f>
        <v>0.34081283153289194</v>
      </c>
    </row>
    <row r="31" spans="1:5">
      <c r="A31" s="2" t="s">
        <v>32</v>
      </c>
      <c r="C31" s="3"/>
      <c r="E31" s="21"/>
    </row>
    <row r="32" spans="1:5">
      <c r="A32" s="1" t="s">
        <v>33</v>
      </c>
      <c r="C32" s="3">
        <v>3450</v>
      </c>
      <c r="E32" s="21">
        <f>C32/$D$7</f>
        <v>6.6790568010221857E-4</v>
      </c>
    </row>
    <row r="33" spans="1:6">
      <c r="A33" s="1" t="s">
        <v>34</v>
      </c>
      <c r="C33" s="7">
        <v>-925</v>
      </c>
      <c r="E33" s="21">
        <f>C33/$D$7</f>
        <v>-1.7907616060711657E-4</v>
      </c>
    </row>
    <row r="34" spans="1:6">
      <c r="A34" s="1" t="s">
        <v>35</v>
      </c>
      <c r="C34" s="3"/>
      <c r="D34" s="10">
        <f>SUM(C32:C33)</f>
        <v>2525</v>
      </c>
      <c r="E34" s="21">
        <f t="shared" si="2"/>
        <v>4.8882951949510208E-4</v>
      </c>
    </row>
    <row r="35" spans="1:6">
      <c r="A35" s="2" t="s">
        <v>36</v>
      </c>
      <c r="C35" s="3"/>
      <c r="D35" s="9">
        <f>D30-D34</f>
        <v>1757909.6</v>
      </c>
      <c r="E35" s="21">
        <f t="shared" si="2"/>
        <v>0.34032400201339685</v>
      </c>
    </row>
    <row r="36" spans="1:6">
      <c r="A36" s="1" t="s">
        <v>37</v>
      </c>
      <c r="C36" s="3"/>
      <c r="D36" s="12">
        <f>D35*0.25</f>
        <v>439477.4</v>
      </c>
      <c r="E36" s="21">
        <f t="shared" si="2"/>
        <v>8.5081000503349213E-2</v>
      </c>
    </row>
    <row r="37" spans="1:6" ht="31.5" customHeight="1">
      <c r="C37" s="3"/>
      <c r="D37" s="11">
        <f>D35-D36</f>
        <v>1318432.2000000002</v>
      </c>
      <c r="E37" s="21">
        <f t="shared" si="2"/>
        <v>0.25524300151004764</v>
      </c>
      <c r="F37" s="22" t="s">
        <v>67</v>
      </c>
    </row>
    <row r="38" spans="1:6" ht="29.25">
      <c r="C38" s="3"/>
      <c r="F38" s="22" t="s">
        <v>68</v>
      </c>
    </row>
    <row r="39" spans="1:6">
      <c r="C39" s="3"/>
    </row>
    <row r="40" spans="1:6">
      <c r="A40" s="32" t="s">
        <v>69</v>
      </c>
      <c r="C40" s="3"/>
    </row>
    <row r="41" spans="1:6">
      <c r="A41" s="2" t="s">
        <v>70</v>
      </c>
    </row>
    <row r="42" spans="1:6">
      <c r="A42" s="1" t="s">
        <v>71</v>
      </c>
      <c r="B42" s="3">
        <f>D7</f>
        <v>5165400</v>
      </c>
    </row>
    <row r="43" spans="1:6">
      <c r="A43" s="1" t="s">
        <v>72</v>
      </c>
      <c r="B43" s="3">
        <f>'balance general - analisis'!B7</f>
        <v>445600</v>
      </c>
      <c r="C43" s="35">
        <f>B42/B43</f>
        <v>11.592010771992818</v>
      </c>
      <c r="D43" s="34" t="s">
        <v>73</v>
      </c>
    </row>
    <row r="44" spans="1:6">
      <c r="D44" s="34" t="s">
        <v>74</v>
      </c>
    </row>
    <row r="47" spans="1:6">
      <c r="A47" s="2" t="s">
        <v>75</v>
      </c>
    </row>
    <row r="48" spans="1:6">
      <c r="A48" s="1" t="s">
        <v>72</v>
      </c>
      <c r="B48" s="3">
        <f>B43</f>
        <v>445600</v>
      </c>
    </row>
    <row r="49" spans="1:4">
      <c r="A49" s="1" t="s">
        <v>8</v>
      </c>
      <c r="B49" s="3">
        <f>D7</f>
        <v>5165400</v>
      </c>
      <c r="C49" s="33">
        <f>B48/B49</f>
        <v>8.6266310450303946E-2</v>
      </c>
    </row>
    <row r="50" spans="1:4">
      <c r="A50" s="1" t="s">
        <v>76</v>
      </c>
      <c r="C50" s="33">
        <v>360</v>
      </c>
    </row>
    <row r="51" spans="1:4">
      <c r="C51" s="33">
        <f>C49*C50</f>
        <v>31.055871762109419</v>
      </c>
      <c r="D51" s="34" t="s">
        <v>77</v>
      </c>
    </row>
    <row r="52" spans="1:4">
      <c r="D52" s="34" t="s">
        <v>78</v>
      </c>
    </row>
    <row r="54" spans="1:4">
      <c r="A54" s="2" t="s">
        <v>79</v>
      </c>
    </row>
    <row r="55" spans="1:4">
      <c r="A55" s="1" t="s">
        <v>15</v>
      </c>
      <c r="B55" s="3">
        <f>'estado financiero - vertical'!C14</f>
        <v>3137800</v>
      </c>
    </row>
    <row r="56" spans="1:4">
      <c r="A56" s="1" t="s">
        <v>80</v>
      </c>
      <c r="B56" s="3">
        <f>'balance general - analisis'!B22</f>
        <v>481100</v>
      </c>
      <c r="C56" s="33">
        <f>B55/B56</f>
        <v>6.522136769902307</v>
      </c>
      <c r="D56" s="34" t="s">
        <v>81</v>
      </c>
    </row>
    <row r="60" spans="1:4">
      <c r="A60" s="2" t="s">
        <v>82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A723-258D-437E-8400-66AA60FB43C6}">
  <dimension ref="A1:E58"/>
  <sheetViews>
    <sheetView zoomScale="159" workbookViewId="0">
      <selection activeCell="D58" sqref="D58"/>
    </sheetView>
  </sheetViews>
  <sheetFormatPr defaultRowHeight="15"/>
  <cols>
    <col min="1" max="1" width="43.42578125" style="1" customWidth="1"/>
    <col min="2" max="2" width="21.140625" style="13" customWidth="1"/>
    <col min="3" max="3" width="19" style="13" customWidth="1"/>
    <col min="4" max="4" width="14.5703125" style="25" customWidth="1"/>
    <col min="5" max="5" width="9.5703125" style="19" customWidth="1"/>
  </cols>
  <sheetData>
    <row r="1" spans="1:5">
      <c r="A1" s="1" t="s">
        <v>38</v>
      </c>
    </row>
    <row r="2" spans="1:5">
      <c r="A2" s="1" t="s">
        <v>39</v>
      </c>
    </row>
    <row r="3" spans="1:5">
      <c r="A3" s="2" t="s">
        <v>40</v>
      </c>
    </row>
    <row r="4" spans="1:5">
      <c r="A4" s="2" t="s">
        <v>41</v>
      </c>
    </row>
    <row r="5" spans="1:5">
      <c r="A5" s="1" t="s">
        <v>42</v>
      </c>
      <c r="B5" s="13">
        <v>785300</v>
      </c>
      <c r="D5" s="26">
        <f>B5/$C$17</f>
        <v>0.35704624142109226</v>
      </c>
    </row>
    <row r="6" spans="1:5">
      <c r="A6" s="1" t="s">
        <v>43</v>
      </c>
      <c r="B6" s="13">
        <v>12600</v>
      </c>
      <c r="D6" s="26">
        <f t="shared" ref="D6:E9" si="0">B6/$C$17</f>
        <v>5.728743972883945E-3</v>
      </c>
    </row>
    <row r="7" spans="1:5">
      <c r="A7" s="1" t="s">
        <v>44</v>
      </c>
      <c r="B7" s="13">
        <v>445600</v>
      </c>
      <c r="D7" s="26">
        <f t="shared" si="0"/>
        <v>0.2025974852632608</v>
      </c>
    </row>
    <row r="8" spans="1:5">
      <c r="A8" s="1" t="s">
        <v>45</v>
      </c>
      <c r="B8" s="13">
        <v>835000</v>
      </c>
      <c r="D8" s="26">
        <f t="shared" si="0"/>
        <v>0.37964295375857893</v>
      </c>
    </row>
    <row r="9" spans="1:5">
      <c r="A9" s="1" t="s">
        <v>46</v>
      </c>
      <c r="B9" s="14">
        <v>32500</v>
      </c>
      <c r="C9" s="13">
        <f>SUM(B5:B9)</f>
        <v>2111000</v>
      </c>
      <c r="D9" s="26">
        <f t="shared" si="0"/>
        <v>1.4776522152280017E-2</v>
      </c>
      <c r="E9" s="24">
        <f t="shared" si="0"/>
        <v>0.95979194656809586</v>
      </c>
    </row>
    <row r="10" spans="1:5">
      <c r="A10" s="2" t="s">
        <v>47</v>
      </c>
    </row>
    <row r="11" spans="1:5">
      <c r="A11" s="1" t="s">
        <v>48</v>
      </c>
      <c r="B11" s="13">
        <v>55400</v>
      </c>
      <c r="D11" s="26">
        <f>B11/$C$17</f>
        <v>2.5188286991886553E-2</v>
      </c>
    </row>
    <row r="12" spans="1:5">
      <c r="A12" s="1" t="s">
        <v>49</v>
      </c>
      <c r="B12" s="15">
        <v>-21800</v>
      </c>
      <c r="C12" s="13">
        <f>SUM(B11:B12)</f>
        <v>33600</v>
      </c>
      <c r="D12" s="26">
        <f t="shared" ref="D12:D15" si="1">B12/$C$17</f>
        <v>-9.911636397529365E-3</v>
      </c>
    </row>
    <row r="13" spans="1:5">
      <c r="A13" s="1" t="s">
        <v>50</v>
      </c>
      <c r="B13" s="13">
        <v>44300</v>
      </c>
      <c r="D13" s="26">
        <f t="shared" si="1"/>
        <v>2.0141536349107838E-2</v>
      </c>
    </row>
    <row r="14" spans="1:5">
      <c r="A14" s="1" t="s">
        <v>51</v>
      </c>
      <c r="B14" s="15">
        <v>-12800</v>
      </c>
      <c r="C14" s="13">
        <f>SUM(B13:B14)</f>
        <v>31500</v>
      </c>
      <c r="D14" s="26">
        <f t="shared" si="1"/>
        <v>-5.8196764168979764E-3</v>
      </c>
    </row>
    <row r="15" spans="1:5">
      <c r="A15" s="1" t="s">
        <v>52</v>
      </c>
      <c r="B15" s="13">
        <v>35900</v>
      </c>
      <c r="D15" s="26">
        <f t="shared" si="1"/>
        <v>1.6322373700518544E-2</v>
      </c>
    </row>
    <row r="16" spans="1:5">
      <c r="A16" s="1" t="s">
        <v>53</v>
      </c>
      <c r="B16" s="15">
        <v>-12565</v>
      </c>
      <c r="C16" s="13">
        <f>SUM(B15:B16)</f>
        <v>23335</v>
      </c>
      <c r="D16" s="26">
        <f>B16/$C$22</f>
        <v>-2.5710922875825555E-2</v>
      </c>
      <c r="E16" s="24">
        <f>SUM(C12:C16)/C17</f>
        <v>4.0208053431904103E-2</v>
      </c>
    </row>
    <row r="17" spans="1:5">
      <c r="A17" s="2" t="s">
        <v>54</v>
      </c>
      <c r="C17" s="16">
        <f>SUM(C9:C16)</f>
        <v>2199435</v>
      </c>
      <c r="D17" s="26">
        <f>C17/C17</f>
        <v>1</v>
      </c>
    </row>
    <row r="18" spans="1:5">
      <c r="A18" s="2" t="s">
        <v>55</v>
      </c>
    </row>
    <row r="19" spans="1:5">
      <c r="A19" s="2" t="s">
        <v>41</v>
      </c>
    </row>
    <row r="20" spans="1:5">
      <c r="A20" s="1" t="s">
        <v>56</v>
      </c>
      <c r="B20" s="13">
        <v>6200</v>
      </c>
      <c r="D20" s="26">
        <f>B20/$C$17</f>
        <v>2.8189057644349572E-3</v>
      </c>
    </row>
    <row r="21" spans="1:5">
      <c r="A21" s="1" t="s">
        <v>57</v>
      </c>
      <c r="B21" s="13">
        <v>1402.8</v>
      </c>
      <c r="D21" s="26">
        <f t="shared" ref="D21:E30" si="2">B21/$C$17</f>
        <v>6.3780016231441256E-4</v>
      </c>
    </row>
    <row r="22" spans="1:5">
      <c r="A22" s="1" t="s">
        <v>58</v>
      </c>
      <c r="B22" s="14">
        <v>481100</v>
      </c>
      <c r="C22" s="13">
        <f>SUM(B20:B22)</f>
        <v>488702.8</v>
      </c>
      <c r="D22" s="26">
        <f t="shared" si="2"/>
        <v>0.21873799407575129</v>
      </c>
      <c r="E22" s="19">
        <f>C22/$C$17</f>
        <v>0.22219470000250063</v>
      </c>
    </row>
    <row r="23" spans="1:5">
      <c r="A23" s="2" t="s">
        <v>47</v>
      </c>
    </row>
    <row r="24" spans="1:5">
      <c r="A24" s="1" t="s">
        <v>59</v>
      </c>
      <c r="C24" s="14">
        <v>42300</v>
      </c>
      <c r="E24" s="19">
        <f>C24/$C$17</f>
        <v>1.9232211908967529E-2</v>
      </c>
    </row>
    <row r="25" spans="1:5">
      <c r="A25" s="2" t="s">
        <v>60</v>
      </c>
      <c r="C25" s="13">
        <f>SUM(C22:C24)</f>
        <v>531002.80000000005</v>
      </c>
      <c r="D25" s="26">
        <f>C25/$C$17</f>
        <v>0.2414269119114682</v>
      </c>
    </row>
    <row r="26" spans="1:5">
      <c r="A26" s="2" t="s">
        <v>61</v>
      </c>
    </row>
    <row r="27" spans="1:5">
      <c r="A27" s="1" t="s">
        <v>62</v>
      </c>
      <c r="B27" s="13">
        <v>1000000</v>
      </c>
      <c r="D27" s="26">
        <f t="shared" si="2"/>
        <v>0.45466222007015439</v>
      </c>
    </row>
    <row r="28" spans="1:5">
      <c r="A28" s="1" t="s">
        <v>63</v>
      </c>
      <c r="B28" s="15">
        <v>-650000</v>
      </c>
      <c r="D28" s="26">
        <f t="shared" si="2"/>
        <v>-0.29553044304560033</v>
      </c>
    </row>
    <row r="29" spans="1:5">
      <c r="B29" s="13">
        <f>SUM(B27:B28)</f>
        <v>350000</v>
      </c>
      <c r="D29" s="26">
        <f t="shared" si="2"/>
        <v>0.15913177702455403</v>
      </c>
    </row>
    <row r="30" spans="1:5">
      <c r="A30" s="1" t="s">
        <v>64</v>
      </c>
      <c r="B30" s="14">
        <v>1318432.2</v>
      </c>
      <c r="C30" s="13">
        <f>SUM(B29:B30)</f>
        <v>1668432.2</v>
      </c>
      <c r="D30" s="26">
        <f t="shared" si="2"/>
        <v>0.5994413110639778</v>
      </c>
      <c r="E30" s="24">
        <f t="shared" si="2"/>
        <v>0.75857308808853185</v>
      </c>
    </row>
    <row r="31" spans="1:5">
      <c r="C31" s="16">
        <f>SUM(C25:C30)</f>
        <v>2199435</v>
      </c>
      <c r="D31" s="26">
        <f>C31/$C$17</f>
        <v>1</v>
      </c>
    </row>
    <row r="33" spans="1:4">
      <c r="A33" s="5" t="s">
        <v>83</v>
      </c>
    </row>
    <row r="34" spans="1:4">
      <c r="A34" s="2" t="s">
        <v>84</v>
      </c>
    </row>
    <row r="35" spans="1:4">
      <c r="A35" s="1" t="s">
        <v>85</v>
      </c>
      <c r="B35" s="13">
        <f>C9</f>
        <v>2111000</v>
      </c>
    </row>
    <row r="36" spans="1:4" ht="20.25" customHeight="1">
      <c r="A36" s="1" t="s">
        <v>86</v>
      </c>
      <c r="B36" s="13">
        <f>C22</f>
        <v>488702.8</v>
      </c>
      <c r="C36" s="29">
        <f>B35-B36</f>
        <v>1622297.2</v>
      </c>
      <c r="D36" s="25" t="s">
        <v>87</v>
      </c>
    </row>
    <row r="39" spans="1:4">
      <c r="A39" s="2" t="s">
        <v>88</v>
      </c>
      <c r="B39" s="27" t="s">
        <v>89</v>
      </c>
    </row>
    <row r="40" spans="1:4">
      <c r="A40" s="1" t="s">
        <v>85</v>
      </c>
      <c r="B40" s="13">
        <f>B35</f>
        <v>2111000</v>
      </c>
    </row>
    <row r="41" spans="1:4">
      <c r="A41" s="1" t="s">
        <v>86</v>
      </c>
      <c r="B41" s="13">
        <f>B36</f>
        <v>488702.8</v>
      </c>
      <c r="C41" s="30">
        <f>B40/B41</f>
        <v>4.3195987418119968</v>
      </c>
      <c r="D41" s="25" t="s">
        <v>90</v>
      </c>
    </row>
    <row r="42" spans="1:4">
      <c r="D42" s="25" t="s">
        <v>91</v>
      </c>
    </row>
    <row r="43" spans="1:4">
      <c r="D43" s="25" t="s">
        <v>92</v>
      </c>
    </row>
    <row r="46" spans="1:4">
      <c r="A46" s="2" t="s">
        <v>93</v>
      </c>
    </row>
    <row r="47" spans="1:4">
      <c r="A47" s="1" t="s">
        <v>85</v>
      </c>
      <c r="B47" s="13">
        <f>C9</f>
        <v>2111000</v>
      </c>
    </row>
    <row r="48" spans="1:4">
      <c r="A48" s="1" t="str">
        <f>A8</f>
        <v>Inventarios II mercaderia</v>
      </c>
      <c r="B48" s="28">
        <f>B8</f>
        <v>835000</v>
      </c>
    </row>
    <row r="49" spans="1:4">
      <c r="A49" s="1" t="s">
        <v>94</v>
      </c>
      <c r="B49" s="13">
        <f>B47-B48</f>
        <v>1276000</v>
      </c>
      <c r="C49" s="29"/>
    </row>
    <row r="50" spans="1:4">
      <c r="A50" s="1" t="s">
        <v>95</v>
      </c>
      <c r="B50" s="13">
        <f>C22</f>
        <v>488702.8</v>
      </c>
      <c r="C50" s="31">
        <f>B49/B50</f>
        <v>2.6109938392004302</v>
      </c>
      <c r="D50" s="25" t="s">
        <v>96</v>
      </c>
    </row>
    <row r="53" spans="1:4">
      <c r="A53" s="2" t="s">
        <v>97</v>
      </c>
    </row>
    <row r="54" spans="1:4">
      <c r="A54" s="1" t="s">
        <v>98</v>
      </c>
      <c r="B54" s="13">
        <f>B40</f>
        <v>2111000</v>
      </c>
    </row>
    <row r="55" spans="1:4">
      <c r="A55" s="1" t="s">
        <v>99</v>
      </c>
      <c r="B55" s="13">
        <f>B48</f>
        <v>835000</v>
      </c>
    </row>
    <row r="56" spans="1:4">
      <c r="A56" s="1" t="s">
        <v>46</v>
      </c>
      <c r="B56" s="28">
        <f>B9</f>
        <v>32500</v>
      </c>
    </row>
    <row r="57" spans="1:4">
      <c r="A57" s="1" t="s">
        <v>100</v>
      </c>
      <c r="B57" s="13">
        <f>B54-SUM(B55:B56)</f>
        <v>1243500</v>
      </c>
    </row>
    <row r="58" spans="1:4">
      <c r="A58" s="1" t="s">
        <v>95</v>
      </c>
      <c r="B58" s="28">
        <f>B41</f>
        <v>488702.8</v>
      </c>
      <c r="C58" s="29">
        <f>B57/B58</f>
        <v>2.544491253170639</v>
      </c>
      <c r="D58" s="25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b2210f-5253-4a26-af47-938276af74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AA570C388B3F4CAEB1525A810B2831" ma:contentTypeVersion="16" ma:contentTypeDescription="Crear nuevo documento." ma:contentTypeScope="" ma:versionID="b65544eb557fdc5c738e2febc81c6807">
  <xsd:schema xmlns:xsd="http://www.w3.org/2001/XMLSchema" xmlns:xs="http://www.w3.org/2001/XMLSchema" xmlns:p="http://schemas.microsoft.com/office/2006/metadata/properties" xmlns:ns3="5db2210f-5253-4a26-af47-938276af74be" xmlns:ns4="22325b18-7c1a-4d4a-bd91-bbb93f4072dd" targetNamespace="http://schemas.microsoft.com/office/2006/metadata/properties" ma:root="true" ma:fieldsID="e5867f8f94f28a6a1601ab61a8e1e460" ns3:_="" ns4:_="">
    <xsd:import namespace="5db2210f-5253-4a26-af47-938276af74be"/>
    <xsd:import namespace="22325b18-7c1a-4d4a-bd91-bbb93f4072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2210f-5253-4a26-af47-938276af74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25b18-7c1a-4d4a-bd91-bbb93f407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BC98D0-0CD4-4E33-BA00-6A53815A701D}"/>
</file>

<file path=customXml/itemProps2.xml><?xml version="1.0" encoding="utf-8"?>
<ds:datastoreItem xmlns:ds="http://schemas.openxmlformats.org/officeDocument/2006/customXml" ds:itemID="{18DCBEA9-425E-4879-9FE3-F65AD38D4C54}"/>
</file>

<file path=customXml/itemProps3.xml><?xml version="1.0" encoding="utf-8"?>
<ds:datastoreItem xmlns:ds="http://schemas.openxmlformats.org/officeDocument/2006/customXml" ds:itemID="{733672FB-2172-4B12-81E0-3AAB67FC6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BAUTISTA FUENTES</dc:creator>
  <cp:keywords/>
  <dc:description/>
  <cp:lastModifiedBy>DANIEL EDUARDO BAUTISTA FUENTES</cp:lastModifiedBy>
  <cp:revision/>
  <dcterms:created xsi:type="dcterms:W3CDTF">2025-08-02T01:31:52Z</dcterms:created>
  <dcterms:modified xsi:type="dcterms:W3CDTF">2025-08-07T17:34:20Z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0x01010065AA570C388B3F4CAEB1525A810B2831</vt:lpwstr>
  </property>
</Properties>
</file>